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oody.shi\Documents\demos\demo_repo\python\data\"/>
    </mc:Choice>
  </mc:AlternateContent>
  <xr:revisionPtr revIDLastSave="0" documentId="13_ncr:1_{49A3DB44-D19C-4A36-BAEB-C5A621D49B93}" xr6:coauthVersionLast="47" xr6:coauthVersionMax="47" xr10:uidLastSave="{00000000-0000-0000-0000-000000000000}"/>
  <bookViews>
    <workbookView xWindow="-120" yWindow="-120" windowWidth="29040" windowHeight="15720" xr2:uid="{8B2CE039-0E87-474F-8D6F-A5D1B3BBB7A3}"/>
  </bookViews>
  <sheets>
    <sheet name="工作表1" sheetId="2" r:id="rId1"/>
  </sheets>
  <definedNames>
    <definedName name="name">工作表1!$I$2:$J$1327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21" i="2" l="1"/>
  <c r="C520" i="2"/>
  <c r="C519" i="2"/>
  <c r="C518" i="2"/>
  <c r="C517" i="2"/>
  <c r="C516" i="2"/>
  <c r="C515" i="2"/>
  <c r="C514" i="2"/>
  <c r="C513" i="2"/>
  <c r="C512" i="2"/>
  <c r="C511" i="2"/>
  <c r="C510" i="2"/>
  <c r="C509" i="2"/>
  <c r="C508" i="2"/>
  <c r="C507" i="2"/>
  <c r="C506" i="2"/>
  <c r="C505" i="2"/>
  <c r="C504" i="2"/>
  <c r="C503" i="2"/>
  <c r="C502" i="2"/>
  <c r="C501" i="2"/>
  <c r="C500" i="2"/>
  <c r="C499" i="2"/>
  <c r="C498" i="2"/>
  <c r="C497" i="2"/>
  <c r="C496" i="2"/>
  <c r="C495" i="2"/>
  <c r="C494" i="2"/>
  <c r="C493" i="2"/>
  <c r="C492" i="2"/>
  <c r="C491" i="2"/>
  <c r="C490" i="2"/>
  <c r="C489" i="2"/>
  <c r="C488" i="2"/>
  <c r="C487" i="2"/>
  <c r="C486" i="2"/>
  <c r="C485" i="2"/>
  <c r="C484" i="2"/>
  <c r="C483" i="2"/>
  <c r="C482" i="2"/>
  <c r="C481" i="2"/>
  <c r="C480" i="2"/>
  <c r="C479" i="2"/>
  <c r="C478" i="2"/>
  <c r="C477" i="2"/>
  <c r="C476" i="2"/>
  <c r="C475" i="2"/>
  <c r="C474" i="2"/>
  <c r="C473" i="2"/>
  <c r="C472" i="2"/>
  <c r="C471" i="2"/>
  <c r="C470" i="2"/>
  <c r="C469" i="2"/>
  <c r="C468" i="2"/>
  <c r="C467" i="2"/>
  <c r="C466" i="2"/>
  <c r="C465" i="2"/>
  <c r="C464" i="2"/>
  <c r="C463" i="2"/>
  <c r="C462" i="2"/>
  <c r="C461" i="2"/>
  <c r="C460" i="2"/>
  <c r="C459" i="2"/>
  <c r="C458" i="2"/>
  <c r="C457" i="2"/>
  <c r="C456" i="2"/>
  <c r="C455" i="2"/>
  <c r="C454" i="2"/>
  <c r="C453" i="2"/>
  <c r="C452" i="2"/>
  <c r="C451" i="2"/>
  <c r="C450" i="2"/>
  <c r="C449" i="2"/>
  <c r="C448" i="2"/>
  <c r="C447" i="2"/>
  <c r="C446" i="2"/>
  <c r="C445" i="2"/>
  <c r="C444" i="2"/>
  <c r="C443" i="2"/>
  <c r="C442" i="2"/>
  <c r="C441" i="2"/>
  <c r="C440" i="2"/>
  <c r="C439" i="2"/>
  <c r="C438" i="2"/>
  <c r="C437" i="2"/>
  <c r="C436" i="2"/>
  <c r="C435" i="2"/>
  <c r="C434" i="2"/>
  <c r="C433" i="2"/>
  <c r="C432" i="2"/>
  <c r="C431" i="2"/>
  <c r="C430" i="2"/>
  <c r="C429" i="2"/>
  <c r="C428" i="2"/>
  <c r="C427" i="2"/>
  <c r="C426" i="2"/>
  <c r="C425" i="2"/>
  <c r="C424" i="2"/>
  <c r="C423" i="2"/>
  <c r="C422" i="2"/>
  <c r="C421" i="2"/>
  <c r="C420" i="2"/>
  <c r="C419" i="2"/>
  <c r="C418" i="2"/>
  <c r="C417" i="2"/>
  <c r="C416" i="2"/>
  <c r="C415" i="2"/>
  <c r="C414" i="2"/>
  <c r="C413" i="2"/>
  <c r="C412" i="2"/>
  <c r="C411" i="2"/>
  <c r="C410" i="2"/>
  <c r="C409" i="2"/>
  <c r="C408" i="2"/>
  <c r="C407" i="2"/>
  <c r="C406" i="2"/>
  <c r="C405" i="2"/>
  <c r="C404" i="2"/>
  <c r="C403" i="2"/>
  <c r="C402" i="2"/>
  <c r="C401" i="2"/>
  <c r="C400" i="2"/>
  <c r="C399" i="2"/>
  <c r="C398" i="2"/>
  <c r="C397" i="2"/>
  <c r="C396" i="2"/>
  <c r="C395" i="2"/>
  <c r="C394" i="2"/>
  <c r="C393" i="2"/>
  <c r="C392" i="2"/>
  <c r="C391" i="2"/>
  <c r="C390" i="2"/>
  <c r="C389" i="2"/>
  <c r="C388" i="2"/>
  <c r="C387" i="2"/>
  <c r="C386" i="2"/>
  <c r="C385" i="2"/>
  <c r="C384" i="2"/>
  <c r="C383" i="2"/>
  <c r="C382" i="2"/>
  <c r="C381" i="2"/>
  <c r="C380" i="2"/>
  <c r="C379" i="2"/>
  <c r="C378" i="2"/>
  <c r="C377" i="2"/>
  <c r="C376" i="2"/>
  <c r="C375" i="2"/>
  <c r="C374" i="2"/>
  <c r="C373" i="2"/>
  <c r="C372" i="2"/>
  <c r="C371" i="2"/>
  <c r="C370" i="2"/>
  <c r="C369" i="2"/>
  <c r="C368" i="2"/>
  <c r="C367" i="2"/>
  <c r="C366" i="2"/>
  <c r="C365" i="2"/>
  <c r="C364" i="2"/>
  <c r="C363" i="2"/>
  <c r="C362" i="2"/>
  <c r="C361" i="2"/>
  <c r="C360" i="2"/>
  <c r="C359" i="2"/>
  <c r="C358" i="2"/>
  <c r="C357" i="2"/>
  <c r="C356" i="2"/>
  <c r="C355" i="2"/>
  <c r="C354" i="2"/>
  <c r="C353" i="2"/>
  <c r="C352" i="2"/>
  <c r="C351" i="2"/>
  <c r="C350" i="2"/>
  <c r="C349" i="2"/>
  <c r="C348" i="2"/>
  <c r="C347" i="2"/>
  <c r="C346" i="2"/>
  <c r="C345" i="2"/>
  <c r="C344" i="2"/>
  <c r="C343" i="2"/>
  <c r="C342" i="2"/>
  <c r="C341" i="2"/>
  <c r="C340" i="2"/>
  <c r="C339" i="2"/>
  <c r="C338" i="2"/>
  <c r="C337" i="2"/>
  <c r="C336" i="2"/>
  <c r="C335" i="2"/>
  <c r="C334" i="2"/>
  <c r="C333" i="2"/>
  <c r="C332" i="2"/>
  <c r="C331" i="2"/>
  <c r="C330" i="2"/>
  <c r="C329" i="2"/>
  <c r="C328" i="2"/>
  <c r="C327" i="2"/>
  <c r="C326" i="2"/>
  <c r="C325" i="2"/>
  <c r="C324" i="2"/>
  <c r="C323" i="2"/>
  <c r="C322" i="2"/>
  <c r="C321" i="2"/>
  <c r="C320" i="2"/>
  <c r="C319" i="2"/>
  <c r="C318" i="2"/>
  <c r="C317" i="2"/>
  <c r="C316" i="2"/>
  <c r="C315" i="2"/>
  <c r="C314" i="2"/>
  <c r="C313" i="2"/>
  <c r="C312" i="2"/>
  <c r="C311" i="2"/>
  <c r="C310" i="2"/>
  <c r="C309" i="2"/>
  <c r="C308" i="2"/>
  <c r="C307" i="2"/>
  <c r="C306" i="2"/>
  <c r="C305" i="2"/>
  <c r="C304" i="2"/>
  <c r="C303" i="2"/>
  <c r="C302" i="2"/>
  <c r="C301" i="2"/>
  <c r="C300" i="2"/>
  <c r="C299" i="2"/>
  <c r="C298" i="2"/>
  <c r="C297" i="2"/>
  <c r="C296" i="2"/>
  <c r="C295" i="2"/>
  <c r="C294" i="2"/>
  <c r="C293" i="2"/>
  <c r="C292" i="2"/>
  <c r="C291" i="2"/>
  <c r="C290" i="2"/>
  <c r="C289" i="2"/>
  <c r="C288" i="2"/>
  <c r="C287" i="2"/>
  <c r="C286" i="2"/>
  <c r="C285" i="2"/>
  <c r="C284" i="2"/>
  <c r="C283" i="2"/>
  <c r="C282" i="2"/>
  <c r="C281" i="2"/>
  <c r="C280" i="2"/>
  <c r="C279" i="2"/>
  <c r="C278" i="2"/>
  <c r="C277" i="2"/>
  <c r="C276" i="2"/>
  <c r="C275" i="2"/>
  <c r="C274" i="2"/>
  <c r="C273" i="2"/>
  <c r="C272" i="2"/>
  <c r="C271" i="2"/>
  <c r="C270" i="2"/>
  <c r="C269" i="2"/>
  <c r="C268" i="2"/>
  <c r="C267" i="2"/>
  <c r="C266" i="2"/>
  <c r="C265" i="2"/>
  <c r="C264" i="2"/>
  <c r="C263" i="2"/>
  <c r="C262" i="2"/>
  <c r="C261" i="2"/>
  <c r="C260" i="2"/>
  <c r="C259" i="2"/>
  <c r="C258" i="2"/>
  <c r="C257" i="2"/>
  <c r="C256" i="2"/>
  <c r="C255" i="2"/>
  <c r="C254" i="2"/>
  <c r="C253" i="2"/>
  <c r="C252" i="2"/>
  <c r="C251" i="2"/>
  <c r="C250" i="2"/>
  <c r="C249" i="2"/>
  <c r="C248" i="2"/>
  <c r="C247" i="2"/>
  <c r="C246" i="2"/>
  <c r="C245" i="2"/>
  <c r="C244" i="2"/>
  <c r="C243" i="2"/>
  <c r="C242" i="2"/>
  <c r="C241" i="2"/>
  <c r="C240" i="2"/>
  <c r="C239" i="2"/>
  <c r="C238" i="2"/>
  <c r="C237" i="2"/>
  <c r="C236" i="2"/>
  <c r="C235" i="2"/>
  <c r="C234" i="2"/>
  <c r="C233" i="2"/>
  <c r="C232" i="2"/>
  <c r="C231" i="2"/>
  <c r="C230" i="2"/>
  <c r="C229" i="2"/>
  <c r="C228" i="2"/>
  <c r="C227" i="2"/>
  <c r="C226" i="2"/>
  <c r="C225" i="2"/>
  <c r="C224" i="2"/>
  <c r="C223" i="2"/>
  <c r="C222" i="2"/>
  <c r="C221" i="2"/>
  <c r="C220" i="2"/>
  <c r="C219" i="2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A521" i="2"/>
  <c r="A520" i="2"/>
  <c r="A519" i="2"/>
  <c r="A518" i="2"/>
  <c r="A517" i="2"/>
  <c r="A516" i="2"/>
  <c r="A515" i="2"/>
  <c r="A514" i="2"/>
  <c r="A513" i="2"/>
  <c r="A512" i="2"/>
  <c r="A511" i="2"/>
  <c r="A510" i="2"/>
  <c r="A509" i="2"/>
  <c r="A508" i="2"/>
  <c r="A507" i="2"/>
  <c r="A506" i="2"/>
  <c r="A505" i="2"/>
  <c r="A504" i="2"/>
  <c r="A503" i="2"/>
  <c r="A502" i="2"/>
  <c r="A501" i="2"/>
  <c r="A500" i="2"/>
  <c r="A499" i="2"/>
  <c r="A498" i="2"/>
  <c r="A497" i="2"/>
  <c r="A496" i="2"/>
  <c r="A495" i="2"/>
  <c r="A494" i="2"/>
  <c r="A493" i="2"/>
  <c r="A492" i="2"/>
  <c r="A491" i="2"/>
  <c r="A490" i="2"/>
  <c r="A489" i="2"/>
  <c r="A488" i="2"/>
  <c r="A487" i="2"/>
  <c r="A486" i="2"/>
  <c r="A485" i="2"/>
  <c r="A484" i="2"/>
  <c r="A483" i="2"/>
  <c r="A482" i="2"/>
  <c r="A481" i="2"/>
  <c r="A480" i="2"/>
  <c r="A479" i="2"/>
  <c r="A478" i="2"/>
  <c r="A477" i="2"/>
  <c r="A476" i="2"/>
  <c r="A475" i="2"/>
  <c r="A474" i="2"/>
  <c r="A473" i="2"/>
  <c r="A472" i="2"/>
  <c r="A471" i="2"/>
  <c r="A470" i="2"/>
  <c r="A469" i="2"/>
  <c r="A468" i="2"/>
  <c r="A467" i="2"/>
  <c r="A466" i="2"/>
  <c r="A465" i="2"/>
  <c r="A464" i="2"/>
  <c r="A463" i="2"/>
  <c r="A462" i="2"/>
  <c r="A461" i="2"/>
  <c r="A460" i="2"/>
  <c r="A459" i="2"/>
  <c r="A458" i="2"/>
  <c r="A457" i="2"/>
  <c r="A456" i="2"/>
  <c r="A455" i="2"/>
  <c r="A454" i="2"/>
  <c r="A453" i="2"/>
  <c r="A452" i="2"/>
  <c r="A451" i="2"/>
  <c r="A450" i="2"/>
  <c r="A449" i="2"/>
  <c r="A448" i="2"/>
  <c r="A447" i="2"/>
  <c r="A446" i="2"/>
  <c r="A445" i="2"/>
  <c r="A444" i="2"/>
  <c r="A443" i="2"/>
  <c r="A442" i="2"/>
  <c r="A441" i="2"/>
  <c r="A440" i="2"/>
  <c r="A439" i="2"/>
  <c r="A438" i="2"/>
  <c r="A437" i="2"/>
  <c r="A436" i="2"/>
  <c r="A435" i="2"/>
  <c r="A434" i="2"/>
  <c r="A433" i="2"/>
  <c r="A432" i="2"/>
  <c r="A431" i="2"/>
  <c r="A430" i="2"/>
  <c r="A429" i="2"/>
  <c r="A428" i="2"/>
  <c r="A427" i="2"/>
  <c r="A426" i="2"/>
  <c r="A425" i="2"/>
  <c r="A424" i="2"/>
  <c r="A423" i="2"/>
  <c r="A422" i="2"/>
  <c r="A421" i="2"/>
  <c r="A420" i="2"/>
  <c r="A419" i="2"/>
  <c r="A418" i="2"/>
  <c r="A417" i="2"/>
  <c r="A416" i="2"/>
  <c r="A415" i="2"/>
  <c r="A414" i="2"/>
  <c r="A413" i="2"/>
  <c r="A412" i="2"/>
  <c r="A411" i="2"/>
  <c r="A410" i="2"/>
  <c r="A409" i="2"/>
  <c r="A408" i="2"/>
  <c r="A407" i="2"/>
  <c r="A406" i="2"/>
  <c r="A405" i="2"/>
  <c r="A404" i="2"/>
  <c r="A403" i="2"/>
  <c r="A402" i="2"/>
  <c r="A401" i="2"/>
  <c r="A400" i="2"/>
  <c r="A399" i="2"/>
  <c r="A398" i="2"/>
  <c r="A397" i="2"/>
  <c r="A396" i="2"/>
  <c r="A395" i="2"/>
  <c r="A394" i="2"/>
  <c r="A393" i="2"/>
  <c r="A392" i="2"/>
  <c r="A391" i="2"/>
  <c r="A390" i="2"/>
  <c r="A389" i="2"/>
  <c r="A388" i="2"/>
  <c r="A387" i="2"/>
  <c r="A386" i="2"/>
  <c r="A385" i="2"/>
  <c r="A384" i="2"/>
  <c r="A383" i="2"/>
  <c r="A382" i="2"/>
  <c r="A381" i="2"/>
  <c r="A380" i="2"/>
  <c r="A379" i="2"/>
  <c r="A378" i="2"/>
  <c r="A377" i="2"/>
  <c r="A376" i="2"/>
  <c r="A375" i="2"/>
  <c r="A374" i="2"/>
  <c r="A373" i="2"/>
  <c r="A372" i="2"/>
  <c r="A371" i="2"/>
  <c r="A370" i="2"/>
  <c r="A369" i="2"/>
  <c r="A368" i="2"/>
  <c r="A367" i="2"/>
  <c r="A366" i="2"/>
  <c r="A365" i="2"/>
  <c r="A364" i="2"/>
  <c r="A363" i="2"/>
  <c r="A362" i="2"/>
  <c r="A361" i="2"/>
  <c r="A360" i="2"/>
  <c r="A359" i="2"/>
  <c r="A358" i="2"/>
  <c r="A357" i="2"/>
  <c r="A356" i="2"/>
  <c r="A355" i="2"/>
  <c r="A354" i="2"/>
  <c r="A353" i="2"/>
  <c r="A352" i="2"/>
  <c r="A351" i="2"/>
  <c r="A350" i="2"/>
  <c r="A349" i="2"/>
  <c r="A348" i="2"/>
  <c r="A347" i="2"/>
  <c r="A346" i="2"/>
  <c r="A345" i="2"/>
  <c r="A344" i="2"/>
  <c r="A343" i="2"/>
  <c r="A342" i="2"/>
  <c r="A341" i="2"/>
  <c r="A340" i="2"/>
  <c r="A339" i="2"/>
  <c r="A338" i="2"/>
  <c r="A337" i="2"/>
  <c r="A336" i="2"/>
  <c r="A335" i="2"/>
  <c r="A334" i="2"/>
  <c r="A333" i="2"/>
  <c r="A332" i="2"/>
  <c r="A331" i="2"/>
  <c r="A330" i="2"/>
  <c r="A329" i="2"/>
  <c r="A328" i="2"/>
  <c r="A327" i="2"/>
  <c r="A326" i="2"/>
  <c r="A325" i="2"/>
  <c r="A324" i="2"/>
  <c r="A323" i="2"/>
  <c r="A322" i="2"/>
  <c r="A321" i="2"/>
  <c r="A320" i="2"/>
  <c r="A319" i="2"/>
  <c r="A318" i="2"/>
  <c r="A317" i="2"/>
  <c r="A316" i="2"/>
  <c r="A315" i="2"/>
  <c r="A314" i="2"/>
  <c r="A313" i="2"/>
  <c r="A312" i="2"/>
  <c r="A311" i="2"/>
  <c r="A310" i="2"/>
  <c r="A309" i="2"/>
  <c r="A308" i="2"/>
  <c r="A307" i="2"/>
  <c r="A306" i="2"/>
  <c r="A305" i="2"/>
  <c r="A304" i="2"/>
  <c r="A303" i="2"/>
  <c r="A302" i="2"/>
  <c r="A301" i="2"/>
  <c r="A300" i="2"/>
  <c r="A299" i="2"/>
  <c r="A298" i="2"/>
  <c r="A297" i="2"/>
  <c r="A296" i="2"/>
  <c r="A295" i="2"/>
  <c r="A294" i="2"/>
  <c r="A293" i="2"/>
  <c r="A292" i="2"/>
  <c r="A291" i="2"/>
  <c r="A290" i="2"/>
  <c r="A289" i="2"/>
  <c r="A288" i="2"/>
  <c r="A287" i="2"/>
  <c r="A286" i="2"/>
  <c r="A285" i="2"/>
  <c r="A284" i="2"/>
  <c r="A283" i="2"/>
  <c r="A282" i="2"/>
  <c r="A281" i="2"/>
  <c r="A280" i="2"/>
  <c r="A279" i="2"/>
  <c r="A278" i="2"/>
  <c r="A277" i="2"/>
  <c r="A276" i="2"/>
  <c r="A275" i="2"/>
  <c r="A274" i="2"/>
  <c r="A273" i="2"/>
  <c r="A272" i="2"/>
  <c r="A271" i="2"/>
  <c r="A270" i="2"/>
  <c r="A269" i="2"/>
  <c r="A268" i="2"/>
  <c r="A267" i="2"/>
  <c r="A266" i="2"/>
  <c r="A265" i="2"/>
  <c r="A264" i="2"/>
  <c r="A263" i="2"/>
  <c r="A262" i="2"/>
  <c r="A261" i="2"/>
  <c r="A260" i="2"/>
  <c r="A259" i="2"/>
  <c r="A258" i="2"/>
  <c r="A257" i="2"/>
  <c r="A256" i="2"/>
  <c r="A255" i="2"/>
  <c r="A254" i="2"/>
  <c r="A253" i="2"/>
  <c r="A252" i="2"/>
  <c r="A251" i="2"/>
  <c r="A250" i="2"/>
  <c r="A249" i="2"/>
  <c r="A248" i="2"/>
  <c r="A247" i="2"/>
  <c r="A246" i="2"/>
  <c r="A245" i="2"/>
  <c r="A244" i="2"/>
  <c r="A243" i="2"/>
  <c r="A242" i="2"/>
  <c r="A241" i="2"/>
  <c r="A240" i="2"/>
  <c r="A239" i="2"/>
  <c r="A238" i="2"/>
  <c r="A237" i="2"/>
  <c r="A236" i="2"/>
  <c r="A235" i="2"/>
  <c r="A234" i="2"/>
  <c r="A233" i="2"/>
  <c r="A232" i="2"/>
  <c r="A231" i="2"/>
  <c r="A230" i="2"/>
  <c r="A229" i="2"/>
  <c r="A228" i="2"/>
  <c r="A227" i="2"/>
  <c r="A226" i="2"/>
  <c r="A225" i="2"/>
  <c r="A224" i="2"/>
  <c r="A223" i="2"/>
  <c r="A222" i="2"/>
  <c r="A221" i="2"/>
  <c r="A220" i="2"/>
  <c r="A219" i="2"/>
  <c r="A218" i="2"/>
  <c r="A217" i="2"/>
  <c r="A216" i="2"/>
  <c r="A215" i="2"/>
  <c r="A214" i="2"/>
  <c r="A213" i="2"/>
  <c r="A212" i="2"/>
  <c r="A211" i="2"/>
  <c r="A210" i="2"/>
  <c r="A209" i="2"/>
  <c r="A208" i="2"/>
  <c r="A207" i="2"/>
  <c r="A206" i="2"/>
  <c r="A205" i="2"/>
  <c r="A204" i="2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3" i="2"/>
  <c r="A182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</calcChain>
</file>

<file path=xl/sharedStrings.xml><?xml version="1.0" encoding="utf-8"?>
<sst xmlns="http://schemas.openxmlformats.org/spreadsheetml/2006/main" count="1983" uniqueCount="546">
  <si>
    <t>a001</t>
  </si>
  <si>
    <t>a002</t>
  </si>
  <si>
    <t>a003</t>
  </si>
  <si>
    <t>a004_fenzi</t>
  </si>
  <si>
    <t>a004_fenmu</t>
  </si>
  <si>
    <t>a005</t>
  </si>
  <si>
    <t>a007</t>
  </si>
  <si>
    <t>a008_fenzi</t>
  </si>
  <si>
    <t>a008_fenmu</t>
  </si>
  <si>
    <t>科目</t>
  </si>
  <si>
    <t>a045_fenzi</t>
  </si>
  <si>
    <t>a045_fenmu</t>
  </si>
  <si>
    <t>a046</t>
  </si>
  <si>
    <t>a048</t>
  </si>
  <si>
    <t>a049</t>
  </si>
  <si>
    <t>a050</t>
  </si>
  <si>
    <t>其他毛利</t>
  </si>
  <si>
    <t>其他毛利率(%)</t>
  </si>
  <si>
    <t>a009</t>
  </si>
  <si>
    <t>a010</t>
  </si>
  <si>
    <t>行政毛利分配(GMLB)</t>
  </si>
  <si>
    <t>a011</t>
  </si>
  <si>
    <t>a012</t>
  </si>
  <si>
    <t>a013_fenzi</t>
  </si>
  <si>
    <t>a013_fenmu</t>
  </si>
  <si>
    <t>a014</t>
  </si>
  <si>
    <t>a015_fenzi</t>
  </si>
  <si>
    <t>a015_fenmu</t>
  </si>
  <si>
    <t>a016</t>
  </si>
  <si>
    <t>a017</t>
  </si>
  <si>
    <t>a017_fenzi</t>
  </si>
  <si>
    <t>a017_fenmu</t>
  </si>
  <si>
    <t>a018</t>
  </si>
  <si>
    <t>a019</t>
  </si>
  <si>
    <t>a020</t>
  </si>
  <si>
    <t>a021_fenzi</t>
  </si>
  <si>
    <t>a021_fenmu</t>
  </si>
  <si>
    <t>a022</t>
  </si>
  <si>
    <t>a023</t>
  </si>
  <si>
    <t>a024</t>
  </si>
  <si>
    <t>a025</t>
  </si>
  <si>
    <t>a026</t>
  </si>
  <si>
    <t>a027</t>
  </si>
  <si>
    <t>a028</t>
  </si>
  <si>
    <t>a029</t>
  </si>
  <si>
    <t>a030</t>
  </si>
  <si>
    <t>a031</t>
  </si>
  <si>
    <t>a032</t>
  </si>
  <si>
    <t>a033_fenzi</t>
  </si>
  <si>
    <t>a033_fenmu</t>
  </si>
  <si>
    <t>a034</t>
  </si>
  <si>
    <t>a035</t>
  </si>
  <si>
    <t>a036</t>
  </si>
  <si>
    <t>a037</t>
  </si>
  <si>
    <t>a038</t>
  </si>
  <si>
    <t>a039</t>
  </si>
  <si>
    <t>a040</t>
  </si>
  <si>
    <t>a041</t>
  </si>
  <si>
    <t>a042</t>
  </si>
  <si>
    <t>a043</t>
  </si>
  <si>
    <t>a044</t>
  </si>
  <si>
    <t>销货收入净额</t>
  </si>
  <si>
    <t>销货收入</t>
  </si>
  <si>
    <t>销货收入-外销</t>
  </si>
  <si>
    <t>销货收入-内销</t>
  </si>
  <si>
    <t>销货收入-其它</t>
  </si>
  <si>
    <t>销货收入-力投</t>
  </si>
  <si>
    <t>销货收入-Hofax</t>
  </si>
  <si>
    <t>销货收入-力顿</t>
  </si>
  <si>
    <t>销货收入-国联</t>
  </si>
  <si>
    <t>销货收入-越南</t>
  </si>
  <si>
    <t>销货收入-调整</t>
  </si>
  <si>
    <t>销货退回</t>
  </si>
  <si>
    <t>销货退回-内销</t>
  </si>
  <si>
    <t>销货退回-其它</t>
  </si>
  <si>
    <t>销货退回-外销</t>
  </si>
  <si>
    <t>销货退回-力投</t>
  </si>
  <si>
    <t>销货退回-Hofax</t>
  </si>
  <si>
    <t>销货退回-力顿</t>
  </si>
  <si>
    <t>销货退回-国联</t>
  </si>
  <si>
    <t>销货退回-越南</t>
  </si>
  <si>
    <t>销货折让</t>
  </si>
  <si>
    <t>销货折让-订单固定折让</t>
  </si>
  <si>
    <t>销货折让-单价尾数差额</t>
  </si>
  <si>
    <t>销货折让-销售异状折让</t>
  </si>
  <si>
    <t>销货成本净额</t>
  </si>
  <si>
    <t>销货成本</t>
  </si>
  <si>
    <t>销货成本-外销</t>
  </si>
  <si>
    <t>销货成本-内销</t>
  </si>
  <si>
    <t>销货成本-其它</t>
  </si>
  <si>
    <t>销货成本-力投</t>
  </si>
  <si>
    <t>销货成本-Hofax</t>
  </si>
  <si>
    <t>销货成本-力顿</t>
  </si>
  <si>
    <t>销货成本-国联</t>
  </si>
  <si>
    <t>销货成本-越南</t>
  </si>
  <si>
    <t>销货成本-调整</t>
  </si>
  <si>
    <t>销货成本退回</t>
  </si>
  <si>
    <t>销货成本退回-外销</t>
  </si>
  <si>
    <t>销货成本退回-内销</t>
  </si>
  <si>
    <t>销货成本退回-其它</t>
  </si>
  <si>
    <t>销货成本退回-力顿</t>
  </si>
  <si>
    <t>销货成本退回-Hofax</t>
  </si>
  <si>
    <t>销货成本退回-国联</t>
  </si>
  <si>
    <t>销货成本退回-越南</t>
  </si>
  <si>
    <t>销货毛利</t>
  </si>
  <si>
    <t>a004</t>
  </si>
  <si>
    <t>销货毛利率(%)</t>
  </si>
  <si>
    <t>销货成本-工厂成本与业务成本差额-业务协议价差额</t>
  </si>
  <si>
    <t>业务毛利</t>
  </si>
  <si>
    <t>a045</t>
  </si>
  <si>
    <t>业务毛利率(%)</t>
  </si>
  <si>
    <t>业务组毛利(45%*80%)</t>
  </si>
  <si>
    <t>行政组毛利(45%*20%)</t>
  </si>
  <si>
    <t>业务行政组毛利分配(YZ01)</t>
  </si>
  <si>
    <t>研发毛利分配(RD)</t>
  </si>
  <si>
    <t>销货成本-工厂成本与业务成本差额-幕僚管理费收入</t>
  </si>
  <si>
    <t>销货成本-工厂成本与业务成本差额-GMLA品牌费收入</t>
  </si>
  <si>
    <t>销货成本-工厂成本与业务成本差额-生产库存差数</t>
  </si>
  <si>
    <t>销货成本-工厂成本与业务成本差额-调整</t>
  </si>
  <si>
    <t>管理费收入分配</t>
  </si>
  <si>
    <t>毛利分配</t>
  </si>
  <si>
    <t>其他业务收入</t>
  </si>
  <si>
    <t>其他业务收入-樣品收入</t>
  </si>
  <si>
    <t>其他业务收入-其他收入</t>
  </si>
  <si>
    <t>其他业务收入-租赁收入</t>
  </si>
  <si>
    <t>其他业务收入-加工收入</t>
  </si>
  <si>
    <t>其他业务收入-原料（次料）收入</t>
  </si>
  <si>
    <t>其他业务收入-废品收入</t>
  </si>
  <si>
    <t>其他业务收入-杂项收入</t>
  </si>
  <si>
    <t>其他业务成本</t>
  </si>
  <si>
    <t>其他业务成本-材料物资转让成本</t>
  </si>
  <si>
    <t>其他业务成本-废旧物资转让成本</t>
  </si>
  <si>
    <t>其他业务成本-租赁成本</t>
  </si>
  <si>
    <t>其他业务成本-加工成本</t>
  </si>
  <si>
    <t>其他业务成本-杂项成本</t>
  </si>
  <si>
    <t>主营业务税金及附加</t>
  </si>
  <si>
    <t>主营业务税金及附加-地方教育费附加</t>
  </si>
  <si>
    <t>主营业务税金及附加-营业税</t>
  </si>
  <si>
    <t>主营业务税金及附加-消费税</t>
  </si>
  <si>
    <t>主营业务税金及附加-城市维护建设税</t>
  </si>
  <si>
    <t>主营业务税金及附加-教育费附加</t>
  </si>
  <si>
    <t>不予免抵退税额及进项税转出</t>
  </si>
  <si>
    <t>a008</t>
  </si>
  <si>
    <t>营业费用</t>
  </si>
  <si>
    <t>营业费用-薪资支出</t>
  </si>
  <si>
    <t>营业费用-薪资支出-基本薪资</t>
  </si>
  <si>
    <t>营业费用-薪资支出-加班费</t>
  </si>
  <si>
    <t>营业费用-薪资支出-奖金</t>
  </si>
  <si>
    <t>营业费用-租金支出</t>
  </si>
  <si>
    <t>营业费用-文具用品</t>
  </si>
  <si>
    <t>营业费用-旅费</t>
  </si>
  <si>
    <t>营业费用-运费</t>
  </si>
  <si>
    <t>营业费用-邮电费</t>
  </si>
  <si>
    <t>营业费用-修缮费</t>
  </si>
  <si>
    <t>营业费用-广告费</t>
  </si>
  <si>
    <t>营业费用-水电瓦斯费</t>
  </si>
  <si>
    <t>营业费用-水电瓦斯费-水费</t>
  </si>
  <si>
    <t>营业费用-水电瓦斯费-电费</t>
  </si>
  <si>
    <t>营业费用-水电瓦斯费-瓦斯费</t>
  </si>
  <si>
    <t>营业费用-保险费</t>
  </si>
  <si>
    <t>营业费用-交际费</t>
  </si>
  <si>
    <t>营业费用-捐赠</t>
  </si>
  <si>
    <t>营业费用-税捐</t>
  </si>
  <si>
    <t>营业费用-呆帐损失</t>
  </si>
  <si>
    <t>营业费用-折旧</t>
  </si>
  <si>
    <t>营业费用-各项摊提</t>
  </si>
  <si>
    <t>营业费用-各项摊提-长期待摊费用摊销</t>
  </si>
  <si>
    <t>营业费用-各项摊提-无形资产摊销</t>
  </si>
  <si>
    <t>营业费用-各项摊提-低值易耗品摊销</t>
  </si>
  <si>
    <t>营业费用-伙食费</t>
  </si>
  <si>
    <t>营业费用-职工褔利</t>
  </si>
  <si>
    <t>营业费用-委托研究费</t>
  </si>
  <si>
    <t>营业费用-委托研究费-样品领用\测试费</t>
  </si>
  <si>
    <t>营业费用-委托研究费-试模费</t>
  </si>
  <si>
    <t>营业费用-佣金支出</t>
  </si>
  <si>
    <t>营业费用-训练费</t>
  </si>
  <si>
    <t>营业费用-进出口费用</t>
  </si>
  <si>
    <t>营业费用-进出口费用-出口运费</t>
  </si>
  <si>
    <t>营业费用-进出口费用-出口报关费</t>
  </si>
  <si>
    <t>营业费用-保全费</t>
  </si>
  <si>
    <t>营业费用-劳务费</t>
  </si>
  <si>
    <t>营业费用-物料费</t>
  </si>
  <si>
    <t>营业费用-物料费-包装费</t>
  </si>
  <si>
    <t>营业费用-物料费-其它物料费</t>
  </si>
  <si>
    <t>营业费用-燃料费</t>
  </si>
  <si>
    <t>营业费用-燃料费-汽油</t>
  </si>
  <si>
    <t>营业费用-燃料费-柴油</t>
  </si>
  <si>
    <t>营业费用-网络服务费用</t>
  </si>
  <si>
    <t>营业费用-劳动保护费</t>
  </si>
  <si>
    <t>营业费用-开模费</t>
  </si>
  <si>
    <t>营业费用-董事会费</t>
  </si>
  <si>
    <t>营业费用-工会经费</t>
  </si>
  <si>
    <t>营业费用-展览费</t>
  </si>
  <si>
    <t>营业费用-汽车费用</t>
  </si>
  <si>
    <t>营业费用-其它费用</t>
  </si>
  <si>
    <t>营业费用-异状费</t>
  </si>
  <si>
    <t>营业费用-异状费-产成品成本差异</t>
  </si>
  <si>
    <t>营业费用-异状费-产成品报废损失</t>
  </si>
  <si>
    <t>营业费用-异状费-半成品报废损失</t>
  </si>
  <si>
    <t>营业费用-异状费-半制品报废损失</t>
  </si>
  <si>
    <t>营业费用-异状费-原材料报废损失</t>
  </si>
  <si>
    <t>营业费用-异状费-委托加工报废损失</t>
  </si>
  <si>
    <t>营业费用-异状费-产成品盘点盈亏</t>
  </si>
  <si>
    <t>业务损益</t>
  </si>
  <si>
    <t>管理费用</t>
  </si>
  <si>
    <t>a5601</t>
  </si>
  <si>
    <t>管理费用-薪资支出</t>
  </si>
  <si>
    <t>管理费用-薪资支出-基本薪资</t>
  </si>
  <si>
    <t>管理费用-薪资支出-加班费</t>
  </si>
  <si>
    <t>管理费用-薪资支出-奖金</t>
  </si>
  <si>
    <t>管理费用-薪资支出-劳务派遣</t>
  </si>
  <si>
    <t>管理费用-租金支出</t>
  </si>
  <si>
    <t>管理费用-文具用品</t>
  </si>
  <si>
    <t>管理费用-旅费</t>
  </si>
  <si>
    <t>管理费用-运费</t>
  </si>
  <si>
    <t>管理费用-邮电费</t>
  </si>
  <si>
    <t>管理费用-修缮费</t>
  </si>
  <si>
    <t>管理费用-广告费</t>
  </si>
  <si>
    <t>管理费用-水电瓦斯费</t>
  </si>
  <si>
    <t>管理费用-水电瓦斯费-水费</t>
  </si>
  <si>
    <t>管理费用-水电瓦斯费-电费</t>
  </si>
  <si>
    <t>管理费用-水电瓦斯费-瓦斯费</t>
  </si>
  <si>
    <t>管理费用-保险费</t>
  </si>
  <si>
    <t>管理费用-保险费-养老保险费</t>
  </si>
  <si>
    <t>管理费用-保险费-工伤保险费</t>
  </si>
  <si>
    <t>管理费用-保险费-医疗保险费</t>
  </si>
  <si>
    <t>管理费用-保险费-失业保险费</t>
  </si>
  <si>
    <t>管理费用-保险费-生育保险费</t>
  </si>
  <si>
    <t>管理费用-保险费-人身意外伤害保险费</t>
  </si>
  <si>
    <t>管理费用-保险费-车辆保险费</t>
  </si>
  <si>
    <t>管理费用-保险费-财产保险费</t>
  </si>
  <si>
    <t>管理费用-保险费-产品责任保险费</t>
  </si>
  <si>
    <t>管理费用-交际费</t>
  </si>
  <si>
    <t>管理费用-捐赠</t>
  </si>
  <si>
    <t>管理费用-税捐</t>
  </si>
  <si>
    <t>管理费用-税捐-印花税</t>
  </si>
  <si>
    <t>管理费用-税捐-印花税-购销合同</t>
  </si>
  <si>
    <t>管理费用-税捐-印花税-财产保险合同</t>
  </si>
  <si>
    <t>管理费用-税捐-印花税-借款合同</t>
  </si>
  <si>
    <t>管理费用-税捐-印花税-营业资金账簿</t>
  </si>
  <si>
    <t>管理费用-税捐-印花税-技术合同税</t>
  </si>
  <si>
    <t>管理费用-税捐-印花税-财产租赁合同</t>
  </si>
  <si>
    <t>管理费用-税捐-印花税-其他营业账簿</t>
  </si>
  <si>
    <t>管理费用-税捐-印花税-货物运输合同</t>
  </si>
  <si>
    <t>管理费用-税捐-房产税</t>
  </si>
  <si>
    <t>管理费用-税捐-车船使用税</t>
  </si>
  <si>
    <t>管理费用-呆帐损失</t>
  </si>
  <si>
    <t>管理费用-折旧</t>
  </si>
  <si>
    <t>管理费用-各项摊提</t>
  </si>
  <si>
    <t>管理费用-各项摊提-长期待摊费用摊销</t>
  </si>
  <si>
    <t>管理费用-各项摊提-无形资产摊销</t>
  </si>
  <si>
    <t>管理费用-各项摊提-低值易耗品摊销</t>
  </si>
  <si>
    <t>管理费用-伙食费</t>
  </si>
  <si>
    <t>管理费用-职工褔利</t>
  </si>
  <si>
    <t>管理费用-研究发展费用</t>
  </si>
  <si>
    <t>管理费用-研究发展费用-样品领用\测试费</t>
  </si>
  <si>
    <t>管理费用-研究发展费用-试模费</t>
  </si>
  <si>
    <t>管理费用-佣金支出</t>
  </si>
  <si>
    <t>管理费用-训练费</t>
  </si>
  <si>
    <t>管理费用-进出口费用</t>
  </si>
  <si>
    <t>管理费用-保全费</t>
  </si>
  <si>
    <t>管理费用-劳务费</t>
  </si>
  <si>
    <t>管理费用-劳务费-审计费</t>
  </si>
  <si>
    <t>管理费用-劳务费-验资费</t>
  </si>
  <si>
    <t>管理费用-劳务费-资产评估费</t>
  </si>
  <si>
    <t>管理费用-劳务费-律师顾问费</t>
  </si>
  <si>
    <t>管理费用-劳务费-ISO评审费</t>
  </si>
  <si>
    <t>管理费用-劳务费-其它劳务费</t>
  </si>
  <si>
    <t>管理费用-物料费</t>
  </si>
  <si>
    <t>管理费用-物料费-包装费</t>
  </si>
  <si>
    <t>管理费用-物料费-其它物料费</t>
  </si>
  <si>
    <t>管理费用-燃料费</t>
  </si>
  <si>
    <t>管理费用-燃料费-汽油</t>
  </si>
  <si>
    <t>管理费用-燃料费-柴油</t>
  </si>
  <si>
    <t>管理费用-网络服务费用</t>
  </si>
  <si>
    <t>管理费用-劳动保护费</t>
  </si>
  <si>
    <t>管理费用-商标特许权使用费</t>
  </si>
  <si>
    <t>管理费用-开模费</t>
  </si>
  <si>
    <t>a560130</t>
  </si>
  <si>
    <t>管理费用-开模费-工厂差价</t>
  </si>
  <si>
    <t>管理费用-开模费-标准差价</t>
  </si>
  <si>
    <t>管理费用-开模费-管理开模</t>
  </si>
  <si>
    <t>a56013001</t>
  </si>
  <si>
    <t>a56013002</t>
  </si>
  <si>
    <t>a56013003</t>
  </si>
  <si>
    <t>管理费用-董事会费</t>
  </si>
  <si>
    <t>管理费用-工会经费</t>
  </si>
  <si>
    <t>管理费用-展览费</t>
  </si>
  <si>
    <t>管理费用-汽车费用</t>
  </si>
  <si>
    <t>管理费用-其它费用</t>
  </si>
  <si>
    <t>管理费用-异状费</t>
  </si>
  <si>
    <t>管理费用-异状费-产成品盘点损益</t>
  </si>
  <si>
    <t>管理费用-异状费-半成品盘点损益</t>
  </si>
  <si>
    <t>管理费用-异状费-半制品盘点损益</t>
  </si>
  <si>
    <t>管理费用-异状费-原材料盘点损益</t>
  </si>
  <si>
    <t>管理费用-异状费-委托加工盘点损益</t>
  </si>
  <si>
    <t>管理费用-异状费-包装物盘点损益</t>
  </si>
  <si>
    <t>管理费用-异状费-低值易耗品盘点损益</t>
  </si>
  <si>
    <t>管理费用-异状费-外购盘点损益</t>
  </si>
  <si>
    <t>管理费用-异状费-产成品报废损失</t>
  </si>
  <si>
    <t>管理费用-异状费-半成品报废损失</t>
  </si>
  <si>
    <t>管理费用-异状费-半制品报废损失</t>
  </si>
  <si>
    <t>管理费用-异状费-原材料报废损失</t>
  </si>
  <si>
    <t>管理费用-异状费-委托加工报废损失</t>
  </si>
  <si>
    <t>管理费用-异状费-替代品出货成本差异</t>
  </si>
  <si>
    <t>管理费用-异状费-色粉色母耗用损失</t>
  </si>
  <si>
    <t>管理费用-异状费-暂报废留库</t>
  </si>
  <si>
    <t>管理费用-异状费-包装差异</t>
  </si>
  <si>
    <t>管理费用-异状费-外发回重检包装差异</t>
  </si>
  <si>
    <t>管理费用-异状费-成品返电差异</t>
  </si>
  <si>
    <t>管理费用-异状费-洗油差异</t>
  </si>
  <si>
    <t>管理费用-异状费-换算差异</t>
  </si>
  <si>
    <t>管理费用-异状费-外包未回损失</t>
  </si>
  <si>
    <t>管理费用-异状费-借还货</t>
  </si>
  <si>
    <t>管理费用-异状费-嘉联与国联对账差额</t>
  </si>
  <si>
    <t>管理费用-异状费-嘉联与力投对账差额</t>
  </si>
  <si>
    <t>管理费用-异状费-嘉联与力顿对账差额</t>
  </si>
  <si>
    <t>管理费用-异状费-力顿与力投对账差额</t>
  </si>
  <si>
    <t>管理费用-异状费-力投与国联对账差额</t>
  </si>
  <si>
    <t>管理费用-历史年度制造损益（含材料成本差异）</t>
  </si>
  <si>
    <t>管理损益</t>
  </si>
  <si>
    <t>研究发展费用</t>
  </si>
  <si>
    <t>研究发展费用-薪资支出</t>
  </si>
  <si>
    <t>研究发展费用-薪资支出-基本薪资</t>
  </si>
  <si>
    <t>研究发展费用-薪资支出-加班费</t>
  </si>
  <si>
    <t>研究发展费用-薪资支出-奖金</t>
  </si>
  <si>
    <t>研究发展费用-租金支出</t>
  </si>
  <si>
    <t>研究发展费用-文具用品</t>
  </si>
  <si>
    <t>研究发展费用-旅费</t>
  </si>
  <si>
    <t>研究发展费用-运费</t>
  </si>
  <si>
    <t>研究发展费用-邮电费</t>
  </si>
  <si>
    <t>研究发展费用-修缮费</t>
  </si>
  <si>
    <t>研究发展费用-广告费</t>
  </si>
  <si>
    <t>研究发展费用-水电瓦斯费</t>
  </si>
  <si>
    <t>研究发展费用-水电瓦斯费-水费</t>
  </si>
  <si>
    <t>研究发展费用-水电瓦斯费-电费</t>
  </si>
  <si>
    <t>研究发展费用-水电瓦斯费-瓦斯费</t>
  </si>
  <si>
    <t>研究发展费用-保险费</t>
  </si>
  <si>
    <t>研究发展费用-交际费</t>
  </si>
  <si>
    <t>研究发展费用-捐赠</t>
  </si>
  <si>
    <t>研究发展费用-税捐</t>
  </si>
  <si>
    <t>研究发展费用-呆帐损失</t>
  </si>
  <si>
    <t>研究发展费用-折旧</t>
  </si>
  <si>
    <t>研究发展费用-各项摊提</t>
  </si>
  <si>
    <t>研究发展费用-各项摊提-长期待摊费用</t>
  </si>
  <si>
    <t>研究发展费用-各项摊提-无形资产摊销</t>
  </si>
  <si>
    <t>研究发展费用-各项摊提-低值易耗品摊销</t>
  </si>
  <si>
    <t>研究发展费用-职工褔利</t>
  </si>
  <si>
    <t>研究发展费用-委托研究费</t>
  </si>
  <si>
    <t>研究发展费用-委托研究费-样品领用\测试费</t>
  </si>
  <si>
    <t>研究发展费用-委托研究费-试模费</t>
  </si>
  <si>
    <t>研究发展费用-训练费</t>
  </si>
  <si>
    <t>研究发展费用-进出口费用</t>
  </si>
  <si>
    <t>研究发展费用-进出口费用-出口运费</t>
  </si>
  <si>
    <t>研究发展费用-进出口费用-出口报关费</t>
  </si>
  <si>
    <t>研究发展费用-保全费</t>
  </si>
  <si>
    <t>研究发展费用-劳务费</t>
  </si>
  <si>
    <t>研究发展费用-物料费</t>
  </si>
  <si>
    <t>研究发展费用-物料费-包装费</t>
  </si>
  <si>
    <t>研究发展费用-物料费-其它物料费</t>
  </si>
  <si>
    <t>研究发展费用-燃料费</t>
  </si>
  <si>
    <t>研究发展费用-燃料费-汽油</t>
  </si>
  <si>
    <t>研究发展费用-燃料费-柴油</t>
  </si>
  <si>
    <t>研究发展费用-网络服务费用</t>
  </si>
  <si>
    <t>研究发展费用-劳动保护费</t>
  </si>
  <si>
    <t>研究发展费用-试模费</t>
  </si>
  <si>
    <t>研究发展费用-开模费</t>
  </si>
  <si>
    <t>研究发展费用-董事会费</t>
  </si>
  <si>
    <t>研究发展费用-工会经费</t>
  </si>
  <si>
    <t>研究发展费用-展览费</t>
  </si>
  <si>
    <t>研究发展费用-汽车费用</t>
  </si>
  <si>
    <t>研究发展费用-其它费用</t>
  </si>
  <si>
    <t>研究发展费用-异状费</t>
  </si>
  <si>
    <t>研究发展费用-异状费-产成品成本差异</t>
  </si>
  <si>
    <t>研究发展费用-异状费-产成品报废损失</t>
  </si>
  <si>
    <t>研究发展费用-异状费-半成品报废损失</t>
  </si>
  <si>
    <t>研究发展费用-异状费-半制品报废损失</t>
  </si>
  <si>
    <t>研究发展费用-异状费-原材料报废损失</t>
  </si>
  <si>
    <t>研究发展费用-异状费-委托加工报废损</t>
  </si>
  <si>
    <t>研究发展费用-异状费-产成品盘点盈亏</t>
  </si>
  <si>
    <t>研究发展损益</t>
  </si>
  <si>
    <t>财务费用</t>
  </si>
  <si>
    <t>财务费用-利息收入</t>
  </si>
  <si>
    <t>财务费用-利息支出</t>
  </si>
  <si>
    <t>财务费用-兑换收益</t>
  </si>
  <si>
    <t>财务费用-兑换损失</t>
  </si>
  <si>
    <t>财务费用-银行手续费</t>
  </si>
  <si>
    <t>营业损益</t>
  </si>
  <si>
    <t>a013</t>
  </si>
  <si>
    <t>营业损益率</t>
  </si>
  <si>
    <t>营业外收入</t>
  </si>
  <si>
    <t>营业外收入-处分固定资产收益</t>
  </si>
  <si>
    <t>营业外收入-处分投资利益</t>
  </si>
  <si>
    <t>营业外收入-存货盘盈</t>
  </si>
  <si>
    <t>营业外收入-管理费收入</t>
  </si>
  <si>
    <t>营业外收入-出售下脚及废料收入</t>
  </si>
  <si>
    <t>营业外收入-处分列管资产收益</t>
  </si>
  <si>
    <t>营业外收入-其它营业外收入</t>
  </si>
  <si>
    <t>营业外支出</t>
  </si>
  <si>
    <t>营业外支出-处分固定资产损失</t>
  </si>
  <si>
    <t>营业外支出-处分投资损失</t>
  </si>
  <si>
    <t>营业外支出-存货盘损</t>
  </si>
  <si>
    <t>营业外支出-赔偿损失</t>
  </si>
  <si>
    <t>营业外支出-滞纳金\罚款损失</t>
  </si>
  <si>
    <t>营业外支出-捐赠</t>
  </si>
  <si>
    <t>营业外支出-非常损失</t>
  </si>
  <si>
    <t>营业外支出-处分存货损失</t>
  </si>
  <si>
    <t>营业外支出-赞助支出</t>
  </si>
  <si>
    <t>营业外支出-水利建设专项基金</t>
  </si>
  <si>
    <t>营业外支出-残疾人保障金</t>
  </si>
  <si>
    <t>营业外支出-容错</t>
  </si>
  <si>
    <t>营业外支出-其它营业外支出</t>
  </si>
  <si>
    <t>投资损益</t>
  </si>
  <si>
    <t>以前年度损益调整</t>
  </si>
  <si>
    <t>税前损益</t>
  </si>
  <si>
    <t>a015</t>
  </si>
  <si>
    <t>税前损益率</t>
  </si>
  <si>
    <t>所得税费用</t>
  </si>
  <si>
    <t>税后损益</t>
  </si>
  <si>
    <t>税后损益率</t>
  </si>
  <si>
    <t>标准稼动-人工收入</t>
  </si>
  <si>
    <t>标准稼动-直接人工收入(80%)</t>
  </si>
  <si>
    <t>标准稼动-间接人工收入</t>
  </si>
  <si>
    <t>制造费用-标准-直接人工</t>
  </si>
  <si>
    <t>制造费用-WIP-直接人工</t>
  </si>
  <si>
    <t>实际扫描-人工收入</t>
  </si>
  <si>
    <t>实际扫描-直接人工收入(80%)</t>
  </si>
  <si>
    <t>实际扫描-间接人工收入</t>
  </si>
  <si>
    <t>a021</t>
  </si>
  <si>
    <t>扫描-人工稼动率</t>
  </si>
  <si>
    <t>制造费用-薪资支出</t>
  </si>
  <si>
    <t>制造费用-薪资支出-直接人工</t>
  </si>
  <si>
    <t>制造费用-薪资支出-直接技师-基本薪资</t>
  </si>
  <si>
    <t>制造费用-薪资支出-直接技师-加班费</t>
  </si>
  <si>
    <t>制造费用-薪资支出-直接技师-奖金</t>
  </si>
  <si>
    <t>制造费用-薪资支出-直接作业员-基本薪资</t>
  </si>
  <si>
    <t>制造费用-薪资支出-直接作业员-加班费</t>
  </si>
  <si>
    <t>制造费用-薪资支出-直接作业员-奖金</t>
  </si>
  <si>
    <t>制造费用-薪资支出-直接作业员-劳务派遣</t>
  </si>
  <si>
    <t>制造费用-薪资支出-间接人工</t>
  </si>
  <si>
    <t>制造费用-薪资支出-间接专业-基本薪资</t>
  </si>
  <si>
    <t>制造费用-薪资支出-间接专业-加班费</t>
  </si>
  <si>
    <t>制造费用-薪资支出-间接专业-奖金</t>
  </si>
  <si>
    <t>制造费用-薪资支出-间接一般-基本薪资</t>
  </si>
  <si>
    <t>制造费用-薪资支出-间接一般-加班费</t>
  </si>
  <si>
    <t>制造费用-薪资支出-间接一般-奖金</t>
  </si>
  <si>
    <t>人工损益</t>
  </si>
  <si>
    <t>直接人工-差数</t>
  </si>
  <si>
    <t>制造费用-直接人工差异-结转</t>
  </si>
  <si>
    <t>直接人工损益(80%)</t>
  </si>
  <si>
    <t>间接人工损益(20%)</t>
  </si>
  <si>
    <t>标准稼动-制造收入</t>
  </si>
  <si>
    <t>标准稼动-制一收入(30%)</t>
  </si>
  <si>
    <t>标准稼动-制二收入(70%)</t>
  </si>
  <si>
    <t>制造费用-标准-变动制造费用</t>
  </si>
  <si>
    <t>制造费用-WIP-变动制造费用</t>
  </si>
  <si>
    <t>实际扫描-制造收入</t>
  </si>
  <si>
    <t>实际扫描-制一收入(30%)</t>
  </si>
  <si>
    <t>实际扫描-制二收入(70%)</t>
  </si>
  <si>
    <t>a033</t>
  </si>
  <si>
    <t>掃瞄-制造架動率</t>
  </si>
  <si>
    <t>制造费用</t>
  </si>
  <si>
    <t>制一费用</t>
  </si>
  <si>
    <t>制造费用-文具用品</t>
  </si>
  <si>
    <t>制造费用-旅费</t>
  </si>
  <si>
    <t>制造费用-运费</t>
  </si>
  <si>
    <t>制造费用-邮电费</t>
  </si>
  <si>
    <t>制造费用-修缮费</t>
  </si>
  <si>
    <t>制造费用-修缮费-其它修理费</t>
  </si>
  <si>
    <t>制造费用-修缮费-模具内部维修结转</t>
  </si>
  <si>
    <t>制造费用-广告费</t>
  </si>
  <si>
    <t>制造费用-保险费</t>
  </si>
  <si>
    <t>制造费用-交际费</t>
  </si>
  <si>
    <t>制造费用-捐赠</t>
  </si>
  <si>
    <t>制造费用-税捐</t>
  </si>
  <si>
    <t>制造费用-呆帐损失</t>
  </si>
  <si>
    <t>制造费用-伙食费</t>
  </si>
  <si>
    <t>制造费用-职工褔利</t>
  </si>
  <si>
    <t>制造费用-委托研究费</t>
  </si>
  <si>
    <t>制造费用-委托研究费-样品领用\测试费</t>
  </si>
  <si>
    <t>制造费用-委托研究费-试模费</t>
  </si>
  <si>
    <t>制造费用-佣金支出</t>
  </si>
  <si>
    <t>制造费用-训练费</t>
  </si>
  <si>
    <t>制造费用-进出口费用</t>
  </si>
  <si>
    <t>制造费用-保全费</t>
  </si>
  <si>
    <t>制造费用-劳务费</t>
  </si>
  <si>
    <t>制造费用-物料费</t>
  </si>
  <si>
    <t>制造费用-物料费-包装费</t>
  </si>
  <si>
    <t>制造费用-物料费-其它物料费</t>
  </si>
  <si>
    <t>制造费用-燃料费</t>
  </si>
  <si>
    <t>制造费用-燃料费-汽油</t>
  </si>
  <si>
    <t>制造费用-燃料费-柴油</t>
  </si>
  <si>
    <t>制造费用-网络服务费用</t>
  </si>
  <si>
    <t>制造费用-劳动保护费</t>
  </si>
  <si>
    <t>制造费用-董事会费</t>
  </si>
  <si>
    <t>制造费用-工会经费</t>
  </si>
  <si>
    <t>制造费用-展览费</t>
  </si>
  <si>
    <t>制造费用-汽车费用</t>
  </si>
  <si>
    <t>制造费用-其它费用</t>
  </si>
  <si>
    <t>制一损益</t>
  </si>
  <si>
    <t>制二费用</t>
  </si>
  <si>
    <t>制造费用-租金支出</t>
  </si>
  <si>
    <t>制造费用-水电瓦斯费</t>
  </si>
  <si>
    <t>制造费用-水电瓦斯费-水费</t>
  </si>
  <si>
    <t>制造费用-水电瓦斯费-电费</t>
  </si>
  <si>
    <t>制造费用-水电瓦斯费-瓦斯费</t>
  </si>
  <si>
    <t>制造费用-折旧</t>
  </si>
  <si>
    <t>制造费用-各项摊提</t>
  </si>
  <si>
    <t>制造费用-各项摊提-长期待摊费用摊销</t>
  </si>
  <si>
    <t>制造费用-各项摊提-无形资产摊销</t>
  </si>
  <si>
    <t>制造费用-各项摊提-低值易耗品摊销</t>
  </si>
  <si>
    <t>制造费用-开模费</t>
  </si>
  <si>
    <t>制造费用-异状费</t>
  </si>
  <si>
    <t>制造费用-异状费-产成品盘点损益</t>
  </si>
  <si>
    <t>制造费用-异状费-半成品盘点损益</t>
  </si>
  <si>
    <t>制造费用-异状费-半制品盘点损益</t>
  </si>
  <si>
    <t>制造费用-异状费-原材料盘点损益</t>
  </si>
  <si>
    <t>制造费用-异状费-委托加工盘点损益</t>
  </si>
  <si>
    <t>制造费用-异状费-产成品报废损失</t>
  </si>
  <si>
    <t>制造费用-异状费-半成品报废损失</t>
  </si>
  <si>
    <t>制造费用-异状费-半制品报废损失</t>
  </si>
  <si>
    <t>制造费用-异状费-原材料报废损失</t>
  </si>
  <si>
    <t>制造费用-异状费-委托加工报废损失</t>
  </si>
  <si>
    <t>制造费用-异状费-原材料抽粒损失</t>
  </si>
  <si>
    <t>制造费用-异状费-原料转次料损失</t>
  </si>
  <si>
    <t>制造费用-异状费-用料标实差异</t>
  </si>
  <si>
    <t>制造费用-异状费-替代品出货成本差异</t>
  </si>
  <si>
    <t>制造费用-异状费-色粉色母耗用损失</t>
  </si>
  <si>
    <t>制造费用-异状费-原料裁片损失</t>
  </si>
  <si>
    <t>制造费用-异状费-废料差异损失</t>
  </si>
  <si>
    <t>制二损益</t>
  </si>
  <si>
    <t>制总费用</t>
  </si>
  <si>
    <t>制总损益</t>
  </si>
  <si>
    <t>变动制造费用-差数</t>
  </si>
  <si>
    <t>制造费用-变动制造费用差异-结转</t>
  </si>
  <si>
    <t>制造费用-标准-外加工费</t>
  </si>
  <si>
    <t>制造费用-WIP-外加工费</t>
  </si>
  <si>
    <t>外加工损益</t>
  </si>
  <si>
    <t>外加工费-差数</t>
  </si>
  <si>
    <t>制造费用-外加工费-结转</t>
  </si>
  <si>
    <t>总单位损益</t>
  </si>
  <si>
    <t>实际单位损益</t>
  </si>
  <si>
    <t>会计科目名称</t>
    <phoneticPr fontId="18" type="noConversion"/>
  </si>
  <si>
    <t>计算科目</t>
    <phoneticPr fontId="18" type="noConversion"/>
  </si>
  <si>
    <t>科目名称</t>
    <phoneticPr fontId="18" type="noConversion"/>
  </si>
  <si>
    <t>乘数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</si>
</sst>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color rgb="FF000000"/>
      <name val="等线"/>
    </font>
    <font>
      <sz val="12"/>
      <color theme="1"/>
      <name val="Microsoft YaHei"/>
      <family val="2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9" fillId="0" borderId="0" xfId="0" applyFont="1" applyAlignment="1"/>
    <xf numFmtId="0" fontId="20" fillId="0" borderId="0" xfId="0" applyFon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E6BAB-828C-40B7-8CE9-96A4D9D7596B}">
  <dimension ref="A1:J1327"/>
  <sheetViews>
    <sheetView tabSelected="1" workbookViewId="0"/>
  </sheetViews>
  <sheetFormatPr defaultRowHeight="16.5"/>
  <cols>
    <col min="1" max="1" width="14.875" bestFit="1" customWidth="1"/>
    <col min="2" max="2" width="11.5" bestFit="1" customWidth="1"/>
  </cols>
  <sheetData>
    <row r="1" spans="1:10" ht="17.25">
      <c r="A1" s="2" t="s">
        <v>542</v>
      </c>
      <c r="B1" s="2" t="s">
        <v>543</v>
      </c>
      <c r="C1" s="2" t="s">
        <v>544</v>
      </c>
      <c r="D1" t="s">
        <v>9</v>
      </c>
      <c r="E1" s="2" t="s">
        <v>545</v>
      </c>
    </row>
    <row r="2" spans="1:10">
      <c r="A2" t="str">
        <f>VLOOKUP(LEFT(B2,4),name,2,FALSE)</f>
        <v>销货收入净额</v>
      </c>
      <c r="B2" t="s">
        <v>0</v>
      </c>
      <c r="C2" t="str">
        <f>VLOOKUP(D2,name,2,FALSE)</f>
        <v>销货收入</v>
      </c>
      <c r="D2">
        <v>5101</v>
      </c>
      <c r="E2">
        <v>1</v>
      </c>
      <c r="I2" s="1" t="s">
        <v>0</v>
      </c>
      <c r="J2" s="1" t="s">
        <v>61</v>
      </c>
    </row>
    <row r="3" spans="1:10">
      <c r="A3" t="str">
        <f>VLOOKUP(LEFT(B3,4),name,2,FALSE)</f>
        <v>销货收入净额</v>
      </c>
      <c r="B3" t="s">
        <v>0</v>
      </c>
      <c r="C3" t="str">
        <f>VLOOKUP(D3,name,2,FALSE)</f>
        <v>销货退回</v>
      </c>
      <c r="D3">
        <v>5111</v>
      </c>
      <c r="E3">
        <v>1</v>
      </c>
      <c r="I3" s="1">
        <v>5101</v>
      </c>
      <c r="J3" s="1" t="s">
        <v>62</v>
      </c>
    </row>
    <row r="4" spans="1:10">
      <c r="A4" t="str">
        <f>VLOOKUP(LEFT(B4,4),name,2,FALSE)</f>
        <v>销货收入净额</v>
      </c>
      <c r="B4" t="s">
        <v>0</v>
      </c>
      <c r="C4" t="str">
        <f>VLOOKUP(D4,name,2,FALSE)</f>
        <v>销货折让</v>
      </c>
      <c r="D4">
        <v>5121</v>
      </c>
      <c r="E4">
        <v>1</v>
      </c>
      <c r="I4" s="1">
        <v>510101</v>
      </c>
      <c r="J4" s="1" t="s">
        <v>63</v>
      </c>
    </row>
    <row r="5" spans="1:10">
      <c r="A5" t="str">
        <f>VLOOKUP(LEFT(B5,4),name,2,FALSE)</f>
        <v>销货成本净额</v>
      </c>
      <c r="B5" t="s">
        <v>1</v>
      </c>
      <c r="C5" t="str">
        <f>VLOOKUP(D5,name,2,FALSE)</f>
        <v>销货成本</v>
      </c>
      <c r="D5">
        <v>4101</v>
      </c>
      <c r="E5">
        <v>1</v>
      </c>
      <c r="I5" s="1">
        <v>510102</v>
      </c>
      <c r="J5" s="1" t="s">
        <v>64</v>
      </c>
    </row>
    <row r="6" spans="1:10">
      <c r="A6" t="str">
        <f>VLOOKUP(LEFT(B6,4),name,2,FALSE)</f>
        <v>销货成本净额</v>
      </c>
      <c r="B6" t="s">
        <v>1</v>
      </c>
      <c r="C6" t="str">
        <f>VLOOKUP(D6,name,2,FALSE)</f>
        <v>销货成本退回</v>
      </c>
      <c r="D6">
        <v>4111</v>
      </c>
      <c r="E6">
        <v>1</v>
      </c>
      <c r="I6" s="1">
        <v>510103</v>
      </c>
      <c r="J6" s="1" t="s">
        <v>65</v>
      </c>
    </row>
    <row r="7" spans="1:10">
      <c r="A7" t="str">
        <f>VLOOKUP(LEFT(B7,4),name,2,FALSE)</f>
        <v>销货毛利</v>
      </c>
      <c r="B7" t="s">
        <v>2</v>
      </c>
      <c r="C7" t="str">
        <f>VLOOKUP(D7,name,2,FALSE)</f>
        <v>销货收入</v>
      </c>
      <c r="D7">
        <v>5101</v>
      </c>
      <c r="E7">
        <v>1</v>
      </c>
      <c r="I7" s="1">
        <v>51010301</v>
      </c>
      <c r="J7" s="1" t="s">
        <v>66</v>
      </c>
    </row>
    <row r="8" spans="1:10">
      <c r="A8" t="str">
        <f>VLOOKUP(LEFT(B8,4),name,2,FALSE)</f>
        <v>销货毛利</v>
      </c>
      <c r="B8" t="s">
        <v>2</v>
      </c>
      <c r="C8" t="str">
        <f>VLOOKUP(D8,name,2,FALSE)</f>
        <v>销货退回</v>
      </c>
      <c r="D8">
        <v>5111</v>
      </c>
      <c r="E8">
        <v>1</v>
      </c>
      <c r="I8" s="1">
        <v>51010302</v>
      </c>
      <c r="J8" s="1" t="s">
        <v>67</v>
      </c>
    </row>
    <row r="9" spans="1:10">
      <c r="A9" t="str">
        <f>VLOOKUP(LEFT(B9,4),name,2,FALSE)</f>
        <v>销货毛利</v>
      </c>
      <c r="B9" t="s">
        <v>2</v>
      </c>
      <c r="C9" t="str">
        <f>VLOOKUP(D9,name,2,FALSE)</f>
        <v>销货折让</v>
      </c>
      <c r="D9">
        <v>5121</v>
      </c>
      <c r="E9">
        <v>1</v>
      </c>
      <c r="I9" s="1">
        <v>51010303</v>
      </c>
      <c r="J9" s="1" t="s">
        <v>68</v>
      </c>
    </row>
    <row r="10" spans="1:10">
      <c r="A10" t="str">
        <f>VLOOKUP(LEFT(B10,4),name,2,FALSE)</f>
        <v>销货毛利</v>
      </c>
      <c r="B10" t="s">
        <v>2</v>
      </c>
      <c r="C10" t="str">
        <f>VLOOKUP(D10,name,2,FALSE)</f>
        <v>销货成本</v>
      </c>
      <c r="D10">
        <v>4101</v>
      </c>
      <c r="E10">
        <v>-1</v>
      </c>
      <c r="I10" s="1">
        <v>51010304</v>
      </c>
      <c r="J10" s="1" t="s">
        <v>69</v>
      </c>
    </row>
    <row r="11" spans="1:10">
      <c r="A11" t="str">
        <f>VLOOKUP(LEFT(B11,4),name,2,FALSE)</f>
        <v>销货毛利</v>
      </c>
      <c r="B11" t="s">
        <v>2</v>
      </c>
      <c r="C11" t="str">
        <f>VLOOKUP(D11,name,2,FALSE)</f>
        <v>销货成本退回</v>
      </c>
      <c r="D11">
        <v>4111</v>
      </c>
      <c r="E11">
        <v>-1</v>
      </c>
      <c r="I11" s="1">
        <v>51010305</v>
      </c>
      <c r="J11" s="1" t="s">
        <v>70</v>
      </c>
    </row>
    <row r="12" spans="1:10">
      <c r="A12" t="str">
        <f>VLOOKUP(LEFT(B12,4),name,2,FALSE)</f>
        <v>销货毛利率(%)</v>
      </c>
      <c r="B12" t="s">
        <v>3</v>
      </c>
      <c r="C12" t="str">
        <f>VLOOKUP(D12,name,2,FALSE)</f>
        <v>销货收入</v>
      </c>
      <c r="D12">
        <v>5101</v>
      </c>
      <c r="E12">
        <v>1</v>
      </c>
      <c r="I12" s="1">
        <v>510109</v>
      </c>
      <c r="J12" s="1" t="s">
        <v>71</v>
      </c>
    </row>
    <row r="13" spans="1:10">
      <c r="A13" t="str">
        <f>VLOOKUP(LEFT(B13,4),name,2,FALSE)</f>
        <v>销货毛利率(%)</v>
      </c>
      <c r="B13" t="s">
        <v>3</v>
      </c>
      <c r="C13" t="str">
        <f>VLOOKUP(D13,name,2,FALSE)</f>
        <v>销货退回</v>
      </c>
      <c r="D13">
        <v>5111</v>
      </c>
      <c r="E13">
        <v>1</v>
      </c>
      <c r="I13" s="1">
        <v>5111</v>
      </c>
      <c r="J13" s="1" t="s">
        <v>72</v>
      </c>
    </row>
    <row r="14" spans="1:10">
      <c r="A14" t="str">
        <f>VLOOKUP(LEFT(B14,4),name,2,FALSE)</f>
        <v>销货毛利率(%)</v>
      </c>
      <c r="B14" t="s">
        <v>3</v>
      </c>
      <c r="C14" t="str">
        <f>VLOOKUP(D14,name,2,FALSE)</f>
        <v>销货折让</v>
      </c>
      <c r="D14">
        <v>5121</v>
      </c>
      <c r="E14">
        <v>1</v>
      </c>
      <c r="I14" s="1">
        <v>511102</v>
      </c>
      <c r="J14" s="1" t="s">
        <v>73</v>
      </c>
    </row>
    <row r="15" spans="1:10">
      <c r="A15" t="str">
        <f>VLOOKUP(LEFT(B15,4),name,2,FALSE)</f>
        <v>销货毛利率(%)</v>
      </c>
      <c r="B15" t="s">
        <v>3</v>
      </c>
      <c r="C15" t="str">
        <f>VLOOKUP(D15,name,2,FALSE)</f>
        <v>销货成本</v>
      </c>
      <c r="D15">
        <v>4101</v>
      </c>
      <c r="E15">
        <v>-1</v>
      </c>
      <c r="I15" s="1">
        <v>511103</v>
      </c>
      <c r="J15" s="1" t="s">
        <v>74</v>
      </c>
    </row>
    <row r="16" spans="1:10">
      <c r="A16" t="str">
        <f>VLOOKUP(LEFT(B16,4),name,2,FALSE)</f>
        <v>销货毛利率(%)</v>
      </c>
      <c r="B16" t="s">
        <v>3</v>
      </c>
      <c r="C16" t="str">
        <f>VLOOKUP(D16,name,2,FALSE)</f>
        <v>销货成本退回</v>
      </c>
      <c r="D16">
        <v>4111</v>
      </c>
      <c r="E16">
        <v>-1</v>
      </c>
      <c r="I16" s="1">
        <v>511101</v>
      </c>
      <c r="J16" s="1" t="s">
        <v>75</v>
      </c>
    </row>
    <row r="17" spans="1:10">
      <c r="A17" t="str">
        <f>VLOOKUP(LEFT(B17,4),name,2,FALSE)</f>
        <v>销货毛利率(%)</v>
      </c>
      <c r="B17" t="s">
        <v>4</v>
      </c>
      <c r="C17" t="str">
        <f>VLOOKUP(D17,name,2,FALSE)</f>
        <v>销货收入</v>
      </c>
      <c r="D17">
        <v>5101</v>
      </c>
      <c r="E17">
        <v>1</v>
      </c>
      <c r="I17" s="1">
        <v>51110301</v>
      </c>
      <c r="J17" s="1" t="s">
        <v>76</v>
      </c>
    </row>
    <row r="18" spans="1:10">
      <c r="A18" t="str">
        <f>VLOOKUP(LEFT(B18,4),name,2,FALSE)</f>
        <v>销货毛利率(%)</v>
      </c>
      <c r="B18" t="s">
        <v>4</v>
      </c>
      <c r="C18" t="str">
        <f>VLOOKUP(D18,name,2,FALSE)</f>
        <v>销货退回</v>
      </c>
      <c r="D18">
        <v>5111</v>
      </c>
      <c r="E18">
        <v>1</v>
      </c>
      <c r="I18" s="1">
        <v>51110302</v>
      </c>
      <c r="J18" s="1" t="s">
        <v>77</v>
      </c>
    </row>
    <row r="19" spans="1:10">
      <c r="A19" t="str">
        <f>VLOOKUP(LEFT(B19,4),name,2,FALSE)</f>
        <v>销货毛利率(%)</v>
      </c>
      <c r="B19" t="s">
        <v>4</v>
      </c>
      <c r="C19" t="str">
        <f>VLOOKUP(D19,name,2,FALSE)</f>
        <v>销货折让</v>
      </c>
      <c r="D19">
        <v>5121</v>
      </c>
      <c r="E19">
        <v>1</v>
      </c>
      <c r="I19" s="1">
        <v>51110303</v>
      </c>
      <c r="J19" s="1" t="s">
        <v>78</v>
      </c>
    </row>
    <row r="20" spans="1:10">
      <c r="A20" t="str">
        <f>VLOOKUP(LEFT(B20,4),name,2,FALSE)</f>
        <v>业务毛利</v>
      </c>
      <c r="B20" t="s">
        <v>5</v>
      </c>
      <c r="C20" t="str">
        <f>VLOOKUP(D20,name,2,FALSE)</f>
        <v>销货收入</v>
      </c>
      <c r="D20">
        <v>5101</v>
      </c>
      <c r="E20">
        <v>1</v>
      </c>
      <c r="I20" s="1">
        <v>51110304</v>
      </c>
      <c r="J20" s="1" t="s">
        <v>79</v>
      </c>
    </row>
    <row r="21" spans="1:10">
      <c r="A21" t="str">
        <f>VLOOKUP(LEFT(B21,4),name,2,FALSE)</f>
        <v>业务毛利</v>
      </c>
      <c r="B21" t="s">
        <v>5</v>
      </c>
      <c r="C21" t="str">
        <f>VLOOKUP(D21,name,2,FALSE)</f>
        <v>销货退回</v>
      </c>
      <c r="D21">
        <v>5111</v>
      </c>
      <c r="E21">
        <v>1</v>
      </c>
      <c r="I21" s="1">
        <v>51110305</v>
      </c>
      <c r="J21" s="1" t="s">
        <v>80</v>
      </c>
    </row>
    <row r="22" spans="1:10">
      <c r="A22" t="str">
        <f>VLOOKUP(LEFT(B22,4),name,2,FALSE)</f>
        <v>业务毛利</v>
      </c>
      <c r="B22" t="s">
        <v>5</v>
      </c>
      <c r="C22" t="str">
        <f>VLOOKUP(D22,name,2,FALSE)</f>
        <v>销货折让</v>
      </c>
      <c r="D22">
        <v>5121</v>
      </c>
      <c r="E22">
        <v>1</v>
      </c>
      <c r="I22" s="1">
        <v>5121</v>
      </c>
      <c r="J22" s="1" t="s">
        <v>81</v>
      </c>
    </row>
    <row r="23" spans="1:10">
      <c r="A23" t="str">
        <f>VLOOKUP(LEFT(B23,4),name,2,FALSE)</f>
        <v>业务毛利</v>
      </c>
      <c r="B23" t="s">
        <v>5</v>
      </c>
      <c r="C23" t="str">
        <f>VLOOKUP(D23,name,2,FALSE)</f>
        <v>销货成本</v>
      </c>
      <c r="D23">
        <v>4101</v>
      </c>
      <c r="E23">
        <v>1</v>
      </c>
      <c r="I23" s="1">
        <v>512101</v>
      </c>
      <c r="J23" s="1" t="s">
        <v>82</v>
      </c>
    </row>
    <row r="24" spans="1:10">
      <c r="A24" t="str">
        <f>VLOOKUP(LEFT(B24,4),name,2,FALSE)</f>
        <v>业务毛利</v>
      </c>
      <c r="B24" t="s">
        <v>5</v>
      </c>
      <c r="C24" t="str">
        <f>VLOOKUP(D24,name,2,FALSE)</f>
        <v>销货成本退回</v>
      </c>
      <c r="D24">
        <v>4111</v>
      </c>
      <c r="E24">
        <v>-1</v>
      </c>
      <c r="I24" s="1">
        <v>512102</v>
      </c>
      <c r="J24" s="1" t="s">
        <v>83</v>
      </c>
    </row>
    <row r="25" spans="1:10">
      <c r="A25" t="str">
        <f>VLOOKUP(LEFT(B25,4),name,2,FALSE)</f>
        <v>业务毛利</v>
      </c>
      <c r="B25" t="s">
        <v>5</v>
      </c>
      <c r="C25" t="str">
        <f>VLOOKUP(D25,name,2,FALSE)</f>
        <v>销货成本-工厂成本与业务成本差额-业务协议价差额</v>
      </c>
      <c r="D25">
        <v>41019901</v>
      </c>
      <c r="E25">
        <v>-1</v>
      </c>
      <c r="I25" s="1">
        <v>512103</v>
      </c>
      <c r="J25" s="1" t="s">
        <v>84</v>
      </c>
    </row>
    <row r="26" spans="1:10">
      <c r="A26" t="str">
        <f>VLOOKUP(LEFT(B26,4),name,2,FALSE)</f>
        <v>业务毛利率(%)</v>
      </c>
      <c r="B26" t="s">
        <v>10</v>
      </c>
      <c r="C26" t="str">
        <f>VLOOKUP(D26,name,2,FALSE)</f>
        <v>销货收入</v>
      </c>
      <c r="D26">
        <v>5101</v>
      </c>
      <c r="E26">
        <v>1</v>
      </c>
      <c r="I26" s="1" t="s">
        <v>1</v>
      </c>
      <c r="J26" s="1" t="s">
        <v>85</v>
      </c>
    </row>
    <row r="27" spans="1:10">
      <c r="A27" t="str">
        <f>VLOOKUP(LEFT(B27,4),name,2,FALSE)</f>
        <v>业务毛利率(%)</v>
      </c>
      <c r="B27" t="s">
        <v>10</v>
      </c>
      <c r="C27" t="str">
        <f>VLOOKUP(D27,name,2,FALSE)</f>
        <v>销货退回</v>
      </c>
      <c r="D27">
        <v>5111</v>
      </c>
      <c r="E27">
        <v>1</v>
      </c>
      <c r="I27" s="1">
        <v>4101</v>
      </c>
      <c r="J27" s="1" t="s">
        <v>86</v>
      </c>
    </row>
    <row r="28" spans="1:10">
      <c r="A28" t="str">
        <f>VLOOKUP(LEFT(B28,4),name,2,FALSE)</f>
        <v>业务毛利率(%)</v>
      </c>
      <c r="B28" t="s">
        <v>10</v>
      </c>
      <c r="C28" t="str">
        <f>VLOOKUP(D28,name,2,FALSE)</f>
        <v>销货折让</v>
      </c>
      <c r="D28">
        <v>5121</v>
      </c>
      <c r="E28">
        <v>1</v>
      </c>
      <c r="I28" s="1">
        <v>410101</v>
      </c>
      <c r="J28" s="1" t="s">
        <v>87</v>
      </c>
    </row>
    <row r="29" spans="1:10">
      <c r="A29" t="str">
        <f>VLOOKUP(LEFT(B29,4),name,2,FALSE)</f>
        <v>业务毛利率(%)</v>
      </c>
      <c r="B29" t="s">
        <v>10</v>
      </c>
      <c r="C29" t="str">
        <f>VLOOKUP(D29,name,2,FALSE)</f>
        <v>销货成本</v>
      </c>
      <c r="D29">
        <v>4101</v>
      </c>
      <c r="E29">
        <v>-1</v>
      </c>
      <c r="I29" s="1">
        <v>410102</v>
      </c>
      <c r="J29" s="1" t="s">
        <v>88</v>
      </c>
    </row>
    <row r="30" spans="1:10">
      <c r="A30" t="str">
        <f>VLOOKUP(LEFT(B30,4),name,2,FALSE)</f>
        <v>业务毛利率(%)</v>
      </c>
      <c r="B30" t="s">
        <v>10</v>
      </c>
      <c r="C30" t="str">
        <f>VLOOKUP(D30,name,2,FALSE)</f>
        <v>销货成本退回</v>
      </c>
      <c r="D30">
        <v>4111</v>
      </c>
      <c r="E30">
        <v>-1</v>
      </c>
      <c r="I30" s="1">
        <v>410103</v>
      </c>
      <c r="J30" s="1" t="s">
        <v>89</v>
      </c>
    </row>
    <row r="31" spans="1:10">
      <c r="A31" t="str">
        <f>VLOOKUP(LEFT(B31,4),name,2,FALSE)</f>
        <v>业务毛利率(%)</v>
      </c>
      <c r="B31" t="s">
        <v>10</v>
      </c>
      <c r="C31" t="str">
        <f>VLOOKUP(D31,name,2,FALSE)</f>
        <v>销货成本-工厂成本与业务成本差额-业务协议价差额</v>
      </c>
      <c r="D31">
        <v>41019901</v>
      </c>
      <c r="E31">
        <v>1</v>
      </c>
      <c r="I31" s="1">
        <v>41010301</v>
      </c>
      <c r="J31" s="1" t="s">
        <v>90</v>
      </c>
    </row>
    <row r="32" spans="1:10">
      <c r="A32" t="str">
        <f>VLOOKUP(LEFT(B32,4),name,2,FALSE)</f>
        <v>业务毛利率(%)</v>
      </c>
      <c r="B32" t="s">
        <v>11</v>
      </c>
      <c r="C32" t="str">
        <f>VLOOKUP(D32,name,2,FALSE)</f>
        <v>销货收入</v>
      </c>
      <c r="D32">
        <v>5101</v>
      </c>
      <c r="E32">
        <v>1</v>
      </c>
      <c r="I32" s="1">
        <v>41010302</v>
      </c>
      <c r="J32" s="1" t="s">
        <v>91</v>
      </c>
    </row>
    <row r="33" spans="1:10">
      <c r="A33" t="str">
        <f>VLOOKUP(LEFT(B33,4),name,2,FALSE)</f>
        <v>业务毛利率(%)</v>
      </c>
      <c r="B33" t="s">
        <v>11</v>
      </c>
      <c r="C33" t="str">
        <f>VLOOKUP(D33,name,2,FALSE)</f>
        <v>销货退回</v>
      </c>
      <c r="D33">
        <v>5111</v>
      </c>
      <c r="E33">
        <v>1</v>
      </c>
      <c r="I33" s="1">
        <v>41010303</v>
      </c>
      <c r="J33" s="1" t="s">
        <v>92</v>
      </c>
    </row>
    <row r="34" spans="1:10">
      <c r="A34" t="str">
        <f>VLOOKUP(LEFT(B34,4),name,2,FALSE)</f>
        <v>业务毛利率(%)</v>
      </c>
      <c r="B34" t="s">
        <v>11</v>
      </c>
      <c r="C34" t="str">
        <f>VLOOKUP(D34,name,2,FALSE)</f>
        <v>销货折让</v>
      </c>
      <c r="D34">
        <v>5121</v>
      </c>
      <c r="E34">
        <v>1</v>
      </c>
      <c r="I34" s="1">
        <v>41010304</v>
      </c>
      <c r="J34" s="1" t="s">
        <v>93</v>
      </c>
    </row>
    <row r="35" spans="1:10">
      <c r="A35" t="str">
        <f>VLOOKUP(LEFT(B35,4),name,2,FALSE)</f>
        <v>业务组毛利(45%*80%)</v>
      </c>
      <c r="B35" t="s">
        <v>12</v>
      </c>
      <c r="C35" t="str">
        <f>VLOOKUP(D35,name,2,FALSE)</f>
        <v>销货收入</v>
      </c>
      <c r="D35">
        <v>5101</v>
      </c>
      <c r="E35">
        <v>0.36</v>
      </c>
      <c r="I35" s="1">
        <v>41010305</v>
      </c>
      <c r="J35" s="1" t="s">
        <v>94</v>
      </c>
    </row>
    <row r="36" spans="1:10">
      <c r="A36" t="str">
        <f>VLOOKUP(LEFT(B36,4),name,2,FALSE)</f>
        <v>业务组毛利(45%*80%)</v>
      </c>
      <c r="B36" t="s">
        <v>12</v>
      </c>
      <c r="C36" t="str">
        <f>VLOOKUP(D36,name,2,FALSE)</f>
        <v>销货退回</v>
      </c>
      <c r="D36">
        <v>5111</v>
      </c>
      <c r="E36">
        <v>0.36</v>
      </c>
      <c r="I36" s="1">
        <v>410109</v>
      </c>
      <c r="J36" s="1" t="s">
        <v>95</v>
      </c>
    </row>
    <row r="37" spans="1:10">
      <c r="A37" t="str">
        <f>VLOOKUP(LEFT(B37,4),name,2,FALSE)</f>
        <v>业务组毛利(45%*80%)</v>
      </c>
      <c r="B37" t="s">
        <v>12</v>
      </c>
      <c r="C37" t="str">
        <f>VLOOKUP(D37,name,2,FALSE)</f>
        <v>销货折让</v>
      </c>
      <c r="D37">
        <v>5121</v>
      </c>
      <c r="E37">
        <v>0.36</v>
      </c>
      <c r="I37" s="1">
        <v>4111</v>
      </c>
      <c r="J37" s="1" t="s">
        <v>96</v>
      </c>
    </row>
    <row r="38" spans="1:10">
      <c r="A38" t="str">
        <f>VLOOKUP(LEFT(B38,4),name,2,FALSE)</f>
        <v>业务组毛利(45%*80%)</v>
      </c>
      <c r="B38" t="s">
        <v>12</v>
      </c>
      <c r="C38" t="str">
        <f>VLOOKUP(D38,name,2,FALSE)</f>
        <v>销货成本</v>
      </c>
      <c r="D38">
        <v>4101</v>
      </c>
      <c r="E38">
        <v>-0.36</v>
      </c>
      <c r="I38" s="1">
        <v>411101</v>
      </c>
      <c r="J38" s="1" t="s">
        <v>97</v>
      </c>
    </row>
    <row r="39" spans="1:10">
      <c r="A39" t="str">
        <f>VLOOKUP(LEFT(B39,4),name,2,FALSE)</f>
        <v>业务组毛利(45%*80%)</v>
      </c>
      <c r="B39" t="s">
        <v>12</v>
      </c>
      <c r="C39" t="str">
        <f>VLOOKUP(D39,name,2,FALSE)</f>
        <v>销货成本退回</v>
      </c>
      <c r="D39">
        <v>4111</v>
      </c>
      <c r="E39">
        <v>-0.36</v>
      </c>
      <c r="I39" s="1">
        <v>411102</v>
      </c>
      <c r="J39" s="1" t="s">
        <v>98</v>
      </c>
    </row>
    <row r="40" spans="1:10">
      <c r="A40" t="str">
        <f>VLOOKUP(LEFT(B40,4),name,2,FALSE)</f>
        <v>业务组毛利(45%*80%)</v>
      </c>
      <c r="B40" t="s">
        <v>12</v>
      </c>
      <c r="C40" t="str">
        <f>VLOOKUP(D40,name,2,FALSE)</f>
        <v>销货成本-工厂成本与业务成本差额-业务协议价差额</v>
      </c>
      <c r="D40">
        <v>41019901</v>
      </c>
      <c r="E40">
        <v>-0.36</v>
      </c>
      <c r="I40" s="1">
        <v>411103</v>
      </c>
      <c r="J40" s="1" t="s">
        <v>99</v>
      </c>
    </row>
    <row r="41" spans="1:10">
      <c r="A41" t="str">
        <f>VLOOKUP(LEFT(B41,4),name,2,FALSE)</f>
        <v>行政组毛利(45%*20%)</v>
      </c>
      <c r="B41" t="s">
        <v>13</v>
      </c>
      <c r="C41" t="str">
        <f>VLOOKUP(D41,name,2,FALSE)</f>
        <v>业务行政组毛利分配(YZ01)</v>
      </c>
      <c r="D41">
        <v>89990904</v>
      </c>
      <c r="E41">
        <v>1</v>
      </c>
      <c r="I41" s="1">
        <v>41110301</v>
      </c>
      <c r="J41" s="1" t="s">
        <v>100</v>
      </c>
    </row>
    <row r="42" spans="1:10">
      <c r="A42" t="str">
        <f>VLOOKUP(LEFT(B42,4),name,2,FALSE)</f>
        <v>管理费收入分配</v>
      </c>
      <c r="B42" t="s">
        <v>14</v>
      </c>
      <c r="C42" t="e">
        <f>VLOOKUP(D42,name,2,FALSE)</f>
        <v>#N/A</v>
      </c>
      <c r="D42">
        <v>899990902</v>
      </c>
      <c r="E42">
        <v>1</v>
      </c>
      <c r="I42" s="1">
        <v>41110302</v>
      </c>
      <c r="J42" s="1" t="s">
        <v>101</v>
      </c>
    </row>
    <row r="43" spans="1:10">
      <c r="A43" t="str">
        <f>VLOOKUP(LEFT(B43,4),name,2,FALSE)</f>
        <v>管理费收入分配</v>
      </c>
      <c r="B43" t="s">
        <v>14</v>
      </c>
      <c r="C43" t="str">
        <f>VLOOKUP(D43,name,2,FALSE)</f>
        <v>销货成本-工厂成本与业务成本差额-幕僚管理费收入</v>
      </c>
      <c r="D43">
        <v>41019902</v>
      </c>
      <c r="E43">
        <v>1</v>
      </c>
      <c r="I43" s="1">
        <v>41110303</v>
      </c>
      <c r="J43" s="1" t="s">
        <v>100</v>
      </c>
    </row>
    <row r="44" spans="1:10">
      <c r="A44" t="str">
        <f>VLOOKUP(LEFT(B44,4),name,2,FALSE)</f>
        <v>管理费收入分配</v>
      </c>
      <c r="B44" t="s">
        <v>14</v>
      </c>
      <c r="C44" t="str">
        <f>VLOOKUP(D44,name,2,FALSE)</f>
        <v>销货成本-工厂成本与业务成本差额-GMLA品牌费收入</v>
      </c>
      <c r="D44">
        <v>41019903</v>
      </c>
      <c r="E44">
        <v>1</v>
      </c>
      <c r="I44" s="1">
        <v>41110304</v>
      </c>
      <c r="J44" s="1" t="s">
        <v>102</v>
      </c>
    </row>
    <row r="45" spans="1:10">
      <c r="A45" t="str">
        <f>VLOOKUP(LEFT(B45,4),name,2,FALSE)</f>
        <v>管理费收入分配</v>
      </c>
      <c r="B45" t="s">
        <v>14</v>
      </c>
      <c r="C45" t="str">
        <f>VLOOKUP(D45,name,2,FALSE)</f>
        <v>销货成本-工厂成本与业务成本差额-生产库存差数</v>
      </c>
      <c r="D45">
        <v>41019904</v>
      </c>
      <c r="E45">
        <v>1</v>
      </c>
      <c r="I45" s="1">
        <v>41110305</v>
      </c>
      <c r="J45" s="1" t="s">
        <v>103</v>
      </c>
    </row>
    <row r="46" spans="1:10">
      <c r="A46" t="str">
        <f>VLOOKUP(LEFT(B46,4),name,2,FALSE)</f>
        <v>管理费收入分配</v>
      </c>
      <c r="B46" t="s">
        <v>14</v>
      </c>
      <c r="C46" t="str">
        <f>VLOOKUP(D46,name,2,FALSE)</f>
        <v>销货成本-工厂成本与业务成本差额-调整</v>
      </c>
      <c r="D46">
        <v>41019905</v>
      </c>
      <c r="E46">
        <v>1</v>
      </c>
      <c r="I46" s="1" t="s">
        <v>2</v>
      </c>
      <c r="J46" s="1" t="s">
        <v>104</v>
      </c>
    </row>
    <row r="47" spans="1:10">
      <c r="A47" t="str">
        <f>VLOOKUP(LEFT(B47,4),name,2,FALSE)</f>
        <v>毛利分配</v>
      </c>
      <c r="B47" t="s">
        <v>15</v>
      </c>
      <c r="C47" t="str">
        <f>VLOOKUP(D47,name,2,FALSE)</f>
        <v>销货收入</v>
      </c>
      <c r="D47">
        <v>5101</v>
      </c>
      <c r="E47">
        <v>0.36</v>
      </c>
      <c r="I47" s="1" t="s">
        <v>105</v>
      </c>
      <c r="J47" s="1" t="s">
        <v>106</v>
      </c>
    </row>
    <row r="48" spans="1:10">
      <c r="A48" t="str">
        <f>VLOOKUP(LEFT(B48,4),name,2,FALSE)</f>
        <v>毛利分配</v>
      </c>
      <c r="B48" t="s">
        <v>15</v>
      </c>
      <c r="C48" t="str">
        <f>VLOOKUP(D48,name,2,FALSE)</f>
        <v>销货退回</v>
      </c>
      <c r="D48">
        <v>5111</v>
      </c>
      <c r="E48">
        <v>0.36</v>
      </c>
      <c r="I48" s="1">
        <v>41019901</v>
      </c>
      <c r="J48" s="1" t="s">
        <v>107</v>
      </c>
    </row>
    <row r="49" spans="1:10">
      <c r="A49" t="str">
        <f>VLOOKUP(LEFT(B49,4),name,2,FALSE)</f>
        <v>毛利分配</v>
      </c>
      <c r="B49" t="s">
        <v>15</v>
      </c>
      <c r="C49" t="str">
        <f>VLOOKUP(D49,name,2,FALSE)</f>
        <v>销货折让</v>
      </c>
      <c r="D49">
        <v>5121</v>
      </c>
      <c r="E49">
        <v>0.36</v>
      </c>
      <c r="I49" s="1" t="s">
        <v>5</v>
      </c>
      <c r="J49" s="1" t="s">
        <v>108</v>
      </c>
    </row>
    <row r="50" spans="1:10">
      <c r="A50" t="str">
        <f>VLOOKUP(LEFT(B50,4),name,2,FALSE)</f>
        <v>毛利分配</v>
      </c>
      <c r="B50" t="s">
        <v>15</v>
      </c>
      <c r="C50" t="str">
        <f>VLOOKUP(D50,name,2,FALSE)</f>
        <v>销货成本</v>
      </c>
      <c r="D50">
        <v>4101</v>
      </c>
      <c r="E50">
        <v>-0.36</v>
      </c>
      <c r="I50" s="1" t="s">
        <v>109</v>
      </c>
      <c r="J50" s="1" t="s">
        <v>110</v>
      </c>
    </row>
    <row r="51" spans="1:10">
      <c r="A51" t="str">
        <f>VLOOKUP(LEFT(B51,4),name,2,FALSE)</f>
        <v>毛利分配</v>
      </c>
      <c r="B51" t="s">
        <v>15</v>
      </c>
      <c r="C51" t="str">
        <f>VLOOKUP(D51,name,2,FALSE)</f>
        <v>销货成本退回</v>
      </c>
      <c r="D51">
        <v>4111</v>
      </c>
      <c r="E51">
        <v>-0.36</v>
      </c>
      <c r="I51" s="1" t="s">
        <v>12</v>
      </c>
      <c r="J51" s="1" t="s">
        <v>111</v>
      </c>
    </row>
    <row r="52" spans="1:10">
      <c r="A52" t="str">
        <f>VLOOKUP(LEFT(B52,4),name,2,FALSE)</f>
        <v>毛利分配</v>
      </c>
      <c r="B52" t="s">
        <v>15</v>
      </c>
      <c r="C52" t="str">
        <f>VLOOKUP(D52,name,2,FALSE)</f>
        <v>销货成本-工厂成本与业务成本差额-业务协议价差额</v>
      </c>
      <c r="D52">
        <v>41019901</v>
      </c>
      <c r="E52">
        <v>-0.36</v>
      </c>
      <c r="I52" s="1" t="s">
        <v>13</v>
      </c>
      <c r="J52" s="1" t="s">
        <v>112</v>
      </c>
    </row>
    <row r="53" spans="1:10">
      <c r="A53" t="str">
        <f>VLOOKUP(LEFT(B53,4),name,2,FALSE)</f>
        <v>毛利分配</v>
      </c>
      <c r="B53" t="s">
        <v>15</v>
      </c>
      <c r="C53" t="str">
        <f>VLOOKUP(D53,name,2,FALSE)</f>
        <v>业务行政组毛利分配(YZ01)</v>
      </c>
      <c r="D53">
        <v>89990904</v>
      </c>
      <c r="E53">
        <v>1</v>
      </c>
      <c r="I53" s="1">
        <v>89990904</v>
      </c>
      <c r="J53" s="1" t="s">
        <v>113</v>
      </c>
    </row>
    <row r="54" spans="1:10">
      <c r="A54" t="str">
        <f>VLOOKUP(LEFT(B54,4),name,2,FALSE)</f>
        <v>毛利分配</v>
      </c>
      <c r="B54" t="s">
        <v>15</v>
      </c>
      <c r="C54" t="str">
        <f>VLOOKUP(D54,name,2,FALSE)</f>
        <v>研发毛利分配(RD)</v>
      </c>
      <c r="D54">
        <v>89990903</v>
      </c>
      <c r="E54">
        <v>1</v>
      </c>
      <c r="I54" s="1">
        <v>89990902</v>
      </c>
      <c r="J54" s="1" t="s">
        <v>20</v>
      </c>
    </row>
    <row r="55" spans="1:10">
      <c r="A55" t="str">
        <f>VLOOKUP(LEFT(B55,4),name,2,FALSE)</f>
        <v>其他毛利</v>
      </c>
      <c r="B55" t="s">
        <v>6</v>
      </c>
      <c r="C55" t="str">
        <f>VLOOKUP(D55,name,2,FALSE)</f>
        <v>其他业务收入</v>
      </c>
      <c r="D55">
        <v>5102</v>
      </c>
      <c r="E55">
        <v>1</v>
      </c>
      <c r="I55" s="1">
        <v>89990903</v>
      </c>
      <c r="J55" s="1" t="s">
        <v>114</v>
      </c>
    </row>
    <row r="56" spans="1:10">
      <c r="A56" t="str">
        <f>VLOOKUP(LEFT(B56,4),name,2,FALSE)</f>
        <v>其他毛利</v>
      </c>
      <c r="B56" t="s">
        <v>6</v>
      </c>
      <c r="C56" t="str">
        <f>VLOOKUP(D56,name,2,FALSE)</f>
        <v>其他业务成本</v>
      </c>
      <c r="D56">
        <v>4102</v>
      </c>
      <c r="E56">
        <v>-1</v>
      </c>
      <c r="I56" s="1">
        <v>41019902</v>
      </c>
      <c r="J56" s="1" t="s">
        <v>115</v>
      </c>
    </row>
    <row r="57" spans="1:10">
      <c r="A57" t="str">
        <f>VLOOKUP(LEFT(B57,4),name,2,FALSE)</f>
        <v>其他毛利</v>
      </c>
      <c r="B57" t="s">
        <v>6</v>
      </c>
      <c r="C57" t="str">
        <f>VLOOKUP(D57,name,2,FALSE)</f>
        <v>主营业务税金及附加</v>
      </c>
      <c r="D57">
        <v>4112</v>
      </c>
      <c r="E57">
        <v>-1</v>
      </c>
      <c r="I57" s="1">
        <v>41019903</v>
      </c>
      <c r="J57" s="1" t="s">
        <v>116</v>
      </c>
    </row>
    <row r="58" spans="1:10">
      <c r="A58" t="str">
        <f>VLOOKUP(LEFT(B58,4),name,2,FALSE)</f>
        <v>其他毛利</v>
      </c>
      <c r="B58" t="s">
        <v>6</v>
      </c>
      <c r="C58" t="str">
        <f>VLOOKUP(D58,name,2,FALSE)</f>
        <v>不予免抵退税额及进项税转出</v>
      </c>
      <c r="D58">
        <v>4113</v>
      </c>
      <c r="E58">
        <v>-1</v>
      </c>
      <c r="I58" s="1">
        <v>41019904</v>
      </c>
      <c r="J58" s="1" t="s">
        <v>117</v>
      </c>
    </row>
    <row r="59" spans="1:10">
      <c r="A59" t="str">
        <f>VLOOKUP(LEFT(B59,4),name,2,FALSE)</f>
        <v>其他毛利率(%)</v>
      </c>
      <c r="B59" t="s">
        <v>7</v>
      </c>
      <c r="C59" t="str">
        <f>VLOOKUP(D59,name,2,FALSE)</f>
        <v>其他业务收入</v>
      </c>
      <c r="D59">
        <v>5102</v>
      </c>
      <c r="E59">
        <v>1</v>
      </c>
      <c r="I59" s="1">
        <v>41019905</v>
      </c>
      <c r="J59" s="1" t="s">
        <v>118</v>
      </c>
    </row>
    <row r="60" spans="1:10">
      <c r="A60" t="str">
        <f>VLOOKUP(LEFT(B60,4),name,2,FALSE)</f>
        <v>其他毛利率(%)</v>
      </c>
      <c r="B60" t="s">
        <v>7</v>
      </c>
      <c r="C60" t="str">
        <f>VLOOKUP(D60,name,2,FALSE)</f>
        <v>其他业务成本</v>
      </c>
      <c r="D60">
        <v>4102</v>
      </c>
      <c r="E60">
        <v>-1</v>
      </c>
      <c r="I60" s="1" t="s">
        <v>14</v>
      </c>
      <c r="J60" s="1" t="s">
        <v>119</v>
      </c>
    </row>
    <row r="61" spans="1:10">
      <c r="A61" t="str">
        <f>VLOOKUP(LEFT(B61,4),name,2,FALSE)</f>
        <v>其他毛利率(%)</v>
      </c>
      <c r="B61" t="s">
        <v>7</v>
      </c>
      <c r="C61" t="str">
        <f>VLOOKUP(D61,name,2,FALSE)</f>
        <v>主营业务税金及附加</v>
      </c>
      <c r="D61">
        <v>4112</v>
      </c>
      <c r="E61">
        <v>-1</v>
      </c>
      <c r="I61" s="1" t="s">
        <v>15</v>
      </c>
      <c r="J61" s="1" t="s">
        <v>120</v>
      </c>
    </row>
    <row r="62" spans="1:10">
      <c r="A62" t="str">
        <f>VLOOKUP(LEFT(B62,4),name,2,FALSE)</f>
        <v>其他毛利率(%)</v>
      </c>
      <c r="B62" t="s">
        <v>7</v>
      </c>
      <c r="C62" t="str">
        <f>VLOOKUP(D62,name,2,FALSE)</f>
        <v>不予免抵退税额及进项税转出</v>
      </c>
      <c r="D62">
        <v>4113</v>
      </c>
      <c r="E62">
        <v>-1</v>
      </c>
      <c r="I62" s="1">
        <v>5102</v>
      </c>
      <c r="J62" s="1" t="s">
        <v>121</v>
      </c>
    </row>
    <row r="63" spans="1:10">
      <c r="A63" t="str">
        <f>VLOOKUP(LEFT(B63,4),name,2,FALSE)</f>
        <v>其他毛利率(%)</v>
      </c>
      <c r="B63" t="s">
        <v>8</v>
      </c>
      <c r="C63" t="str">
        <f>VLOOKUP(D63,name,2,FALSE)</f>
        <v>其他业务收入</v>
      </c>
      <c r="D63">
        <v>5102</v>
      </c>
      <c r="E63">
        <v>1</v>
      </c>
      <c r="I63" s="1">
        <v>510201</v>
      </c>
      <c r="J63" s="1" t="s">
        <v>122</v>
      </c>
    </row>
    <row r="64" spans="1:10">
      <c r="A64" t="str">
        <f>VLOOKUP(LEFT(B64,4),name,2,FALSE)</f>
        <v>业务损益</v>
      </c>
      <c r="B64" t="s">
        <v>18</v>
      </c>
      <c r="C64" t="str">
        <f>VLOOKUP(D64,name,2,FALSE)</f>
        <v>销货收入</v>
      </c>
      <c r="D64">
        <v>5101</v>
      </c>
      <c r="E64">
        <v>0.36</v>
      </c>
      <c r="I64" s="1">
        <v>510202</v>
      </c>
      <c r="J64" s="1" t="s">
        <v>123</v>
      </c>
    </row>
    <row r="65" spans="1:10">
      <c r="A65" t="str">
        <f>VLOOKUP(LEFT(B65,4),name,2,FALSE)</f>
        <v>业务损益</v>
      </c>
      <c r="B65" t="s">
        <v>18</v>
      </c>
      <c r="C65" t="str">
        <f>VLOOKUP(D65,name,2,FALSE)</f>
        <v>销货退回</v>
      </c>
      <c r="D65">
        <v>5111</v>
      </c>
      <c r="E65">
        <v>0.36</v>
      </c>
      <c r="I65" s="1">
        <v>510211</v>
      </c>
      <c r="J65" s="1" t="s">
        <v>124</v>
      </c>
    </row>
    <row r="66" spans="1:10">
      <c r="A66" t="str">
        <f>VLOOKUP(LEFT(B66,4),name,2,FALSE)</f>
        <v>业务损益</v>
      </c>
      <c r="B66" t="s">
        <v>18</v>
      </c>
      <c r="C66" t="str">
        <f>VLOOKUP(D66,name,2,FALSE)</f>
        <v>销货折让</v>
      </c>
      <c r="D66">
        <v>5121</v>
      </c>
      <c r="E66">
        <v>0.36</v>
      </c>
      <c r="I66" s="1">
        <v>510221</v>
      </c>
      <c r="J66" s="1" t="s">
        <v>125</v>
      </c>
    </row>
    <row r="67" spans="1:10">
      <c r="A67" t="str">
        <f>VLOOKUP(LEFT(B67,4),name,2,FALSE)</f>
        <v>业务损益</v>
      </c>
      <c r="B67" t="s">
        <v>18</v>
      </c>
      <c r="C67" t="str">
        <f>VLOOKUP(D67,name,2,FALSE)</f>
        <v>销货成本</v>
      </c>
      <c r="D67">
        <v>4101</v>
      </c>
      <c r="E67">
        <v>-0.36</v>
      </c>
      <c r="I67" s="1">
        <v>510271</v>
      </c>
      <c r="J67" s="1" t="s">
        <v>126</v>
      </c>
    </row>
    <row r="68" spans="1:10">
      <c r="A68" t="str">
        <f>VLOOKUP(LEFT(B68,4),name,2,FALSE)</f>
        <v>业务损益</v>
      </c>
      <c r="B68" t="s">
        <v>18</v>
      </c>
      <c r="C68" t="str">
        <f>VLOOKUP(D68,name,2,FALSE)</f>
        <v>销货成本退回</v>
      </c>
      <c r="D68">
        <v>4111</v>
      </c>
      <c r="E68">
        <v>-0.36</v>
      </c>
      <c r="I68" s="1">
        <v>510281</v>
      </c>
      <c r="J68" s="1" t="s">
        <v>127</v>
      </c>
    </row>
    <row r="69" spans="1:10">
      <c r="A69" t="str">
        <f>VLOOKUP(LEFT(B69,4),name,2,FALSE)</f>
        <v>业务损益</v>
      </c>
      <c r="B69" t="s">
        <v>18</v>
      </c>
      <c r="C69" t="str">
        <f>VLOOKUP(D69,name,2,FALSE)</f>
        <v>销货成本-工厂成本与业务成本差额-业务协议价差额</v>
      </c>
      <c r="D69">
        <v>41019901</v>
      </c>
      <c r="E69">
        <v>-0.36</v>
      </c>
      <c r="I69" s="1">
        <v>510291</v>
      </c>
      <c r="J69" s="1" t="s">
        <v>128</v>
      </c>
    </row>
    <row r="70" spans="1:10">
      <c r="A70" t="str">
        <f>VLOOKUP(LEFT(B70,4),name,2,FALSE)</f>
        <v>业务损益</v>
      </c>
      <c r="B70" t="s">
        <v>18</v>
      </c>
      <c r="C70" t="str">
        <f>VLOOKUP(D70,name,2,FALSE)</f>
        <v>业务行政组毛利分配(YZ01)</v>
      </c>
      <c r="D70">
        <v>89990904</v>
      </c>
      <c r="E70">
        <v>1</v>
      </c>
      <c r="I70" s="1">
        <v>4102</v>
      </c>
      <c r="J70" s="1" t="s">
        <v>129</v>
      </c>
    </row>
    <row r="71" spans="1:10">
      <c r="A71" t="str">
        <f>VLOOKUP(LEFT(B71,4),name,2,FALSE)</f>
        <v>业务损益</v>
      </c>
      <c r="B71" t="s">
        <v>18</v>
      </c>
      <c r="C71" t="str">
        <f>VLOOKUP(D71,name,2,FALSE)</f>
        <v>其他业务收入</v>
      </c>
      <c r="D71">
        <v>5102</v>
      </c>
      <c r="E71">
        <v>1</v>
      </c>
      <c r="I71" s="1">
        <v>410201</v>
      </c>
      <c r="J71" s="1" t="s">
        <v>130</v>
      </c>
    </row>
    <row r="72" spans="1:10">
      <c r="A72" t="str">
        <f>VLOOKUP(LEFT(B72,4),name,2,FALSE)</f>
        <v>业务损益</v>
      </c>
      <c r="B72" t="s">
        <v>18</v>
      </c>
      <c r="C72" t="str">
        <f>VLOOKUP(D72,name,2,FALSE)</f>
        <v>其他业务成本</v>
      </c>
      <c r="D72">
        <v>4102</v>
      </c>
      <c r="E72">
        <v>-1</v>
      </c>
      <c r="I72" s="1">
        <v>410202</v>
      </c>
      <c r="J72" s="1" t="s">
        <v>131</v>
      </c>
    </row>
    <row r="73" spans="1:10">
      <c r="A73" t="str">
        <f>VLOOKUP(LEFT(B73,4),name,2,FALSE)</f>
        <v>业务损益</v>
      </c>
      <c r="B73" t="s">
        <v>18</v>
      </c>
      <c r="C73" t="str">
        <f>VLOOKUP(D73,name,2,FALSE)</f>
        <v>主营业务税金及附加</v>
      </c>
      <c r="D73">
        <v>4112</v>
      </c>
      <c r="E73">
        <v>-1</v>
      </c>
      <c r="I73" s="1">
        <v>410211</v>
      </c>
      <c r="J73" s="1" t="s">
        <v>132</v>
      </c>
    </row>
    <row r="74" spans="1:10">
      <c r="A74" t="str">
        <f>VLOOKUP(LEFT(B74,4),name,2,FALSE)</f>
        <v>业务损益</v>
      </c>
      <c r="B74" t="s">
        <v>18</v>
      </c>
      <c r="C74" t="str">
        <f>VLOOKUP(D74,name,2,FALSE)</f>
        <v>不予免抵退税额及进项税转出</v>
      </c>
      <c r="D74">
        <v>4113</v>
      </c>
      <c r="E74">
        <v>-1</v>
      </c>
      <c r="I74" s="1">
        <v>410221</v>
      </c>
      <c r="J74" s="1" t="s">
        <v>133</v>
      </c>
    </row>
    <row r="75" spans="1:10">
      <c r="A75" t="str">
        <f>VLOOKUP(LEFT(B75,4),name,2,FALSE)</f>
        <v>管理损益</v>
      </c>
      <c r="B75" t="s">
        <v>19</v>
      </c>
      <c r="C75" t="str">
        <f>VLOOKUP(D75,name,2,FALSE)</f>
        <v>行政毛利分配(GMLB)</v>
      </c>
      <c r="D75">
        <v>89990902</v>
      </c>
      <c r="E75">
        <v>1</v>
      </c>
      <c r="I75" s="1">
        <v>410291</v>
      </c>
      <c r="J75" s="1" t="s">
        <v>134</v>
      </c>
    </row>
    <row r="76" spans="1:10">
      <c r="A76" t="str">
        <f>VLOOKUP(LEFT(B76,4),name,2,FALSE)</f>
        <v>管理损益</v>
      </c>
      <c r="B76" t="s">
        <v>19</v>
      </c>
      <c r="C76" t="str">
        <f>VLOOKUP(D76,name,2,FALSE)</f>
        <v>销货成本-工厂成本与业务成本差额-幕僚管理费收入</v>
      </c>
      <c r="D76">
        <v>41019902</v>
      </c>
      <c r="E76">
        <v>1</v>
      </c>
      <c r="I76" s="1">
        <v>4112</v>
      </c>
      <c r="J76" s="1" t="s">
        <v>135</v>
      </c>
    </row>
    <row r="77" spans="1:10">
      <c r="A77" t="str">
        <f>VLOOKUP(LEFT(B77,4),name,2,FALSE)</f>
        <v>管理损益</v>
      </c>
      <c r="B77" t="s">
        <v>19</v>
      </c>
      <c r="C77" t="str">
        <f>VLOOKUP(D77,name,2,FALSE)</f>
        <v>销货成本-工厂成本与业务成本差额-GMLA品牌费收入</v>
      </c>
      <c r="D77">
        <v>41019903</v>
      </c>
      <c r="E77">
        <v>1</v>
      </c>
      <c r="I77" s="1">
        <v>411201</v>
      </c>
      <c r="J77" s="1" t="s">
        <v>136</v>
      </c>
    </row>
    <row r="78" spans="1:10">
      <c r="A78" t="str">
        <f>VLOOKUP(LEFT(B78,4),name,2,FALSE)</f>
        <v>管理损益</v>
      </c>
      <c r="B78" t="s">
        <v>19</v>
      </c>
      <c r="C78" t="str">
        <f>VLOOKUP(D78,name,2,FALSE)</f>
        <v>销货成本-工厂成本与业务成本差额-生产库存差数</v>
      </c>
      <c r="D78">
        <v>41019904</v>
      </c>
      <c r="E78">
        <v>1</v>
      </c>
      <c r="I78" s="1">
        <v>411202</v>
      </c>
      <c r="J78" s="1" t="s">
        <v>137</v>
      </c>
    </row>
    <row r="79" spans="1:10">
      <c r="A79" t="str">
        <f>VLOOKUP(LEFT(B79,4),name,2,FALSE)</f>
        <v>管理损益</v>
      </c>
      <c r="B79" t="s">
        <v>19</v>
      </c>
      <c r="C79" t="str">
        <f>VLOOKUP(D79,name,2,FALSE)</f>
        <v>销货成本-工厂成本与业务成本差额-调整</v>
      </c>
      <c r="D79">
        <v>41019905</v>
      </c>
      <c r="E79">
        <v>1</v>
      </c>
      <c r="I79" s="1">
        <v>411203</v>
      </c>
      <c r="J79" s="1" t="s">
        <v>138</v>
      </c>
    </row>
    <row r="80" spans="1:10">
      <c r="A80" t="str">
        <f>VLOOKUP(LEFT(B80,4),name,2,FALSE)</f>
        <v>管理损益</v>
      </c>
      <c r="B80" t="s">
        <v>19</v>
      </c>
      <c r="C80" t="str">
        <f>VLOOKUP(D80,name,2,FALSE)</f>
        <v>管理费用</v>
      </c>
      <c r="D80">
        <v>5601</v>
      </c>
      <c r="E80">
        <v>-1</v>
      </c>
      <c r="I80" s="1">
        <v>411204</v>
      </c>
      <c r="J80" s="1" t="s">
        <v>139</v>
      </c>
    </row>
    <row r="81" spans="1:10">
      <c r="A81" t="str">
        <f>VLOOKUP(LEFT(B81,4),name,2,FALSE)</f>
        <v>研究发展损益</v>
      </c>
      <c r="B81" t="s">
        <v>21</v>
      </c>
      <c r="C81" t="str">
        <f>VLOOKUP(D81,name,2,FALSE)</f>
        <v>研发毛利分配(RD)</v>
      </c>
      <c r="D81">
        <v>89990903</v>
      </c>
      <c r="E81">
        <v>1</v>
      </c>
      <c r="I81" s="1">
        <v>411205</v>
      </c>
      <c r="J81" s="1" t="s">
        <v>140</v>
      </c>
    </row>
    <row r="82" spans="1:10">
      <c r="A82" t="str">
        <f>VLOOKUP(LEFT(B82,4),name,2,FALSE)</f>
        <v>研究发展损益</v>
      </c>
      <c r="B82" t="s">
        <v>21</v>
      </c>
      <c r="C82" t="str">
        <f>VLOOKUP(D82,name,2,FALSE)</f>
        <v>研究发展费用</v>
      </c>
      <c r="D82">
        <v>5701</v>
      </c>
      <c r="E82">
        <v>-1</v>
      </c>
      <c r="I82" s="1">
        <v>4113</v>
      </c>
      <c r="J82" s="1" t="s">
        <v>141</v>
      </c>
    </row>
    <row r="83" spans="1:10">
      <c r="A83" t="str">
        <f>VLOOKUP(LEFT(B83,4),name,2,FALSE)</f>
        <v>营业损益</v>
      </c>
      <c r="B83" t="s">
        <v>22</v>
      </c>
      <c r="C83" t="str">
        <f>VLOOKUP(D83,name,2,FALSE)</f>
        <v>销货收入</v>
      </c>
      <c r="D83">
        <v>5101</v>
      </c>
      <c r="E83">
        <v>0.36</v>
      </c>
      <c r="I83" s="1">
        <v>411301</v>
      </c>
      <c r="J83" s="1" t="s">
        <v>141</v>
      </c>
    </row>
    <row r="84" spans="1:10">
      <c r="A84" t="str">
        <f>VLOOKUP(LEFT(B84,4),name,2,FALSE)</f>
        <v>营业损益</v>
      </c>
      <c r="B84" t="s">
        <v>22</v>
      </c>
      <c r="C84" t="str">
        <f>VLOOKUP(D84,name,2,FALSE)</f>
        <v>销货退回</v>
      </c>
      <c r="D84">
        <v>5111</v>
      </c>
      <c r="E84">
        <v>0.36</v>
      </c>
      <c r="I84" s="1" t="s">
        <v>6</v>
      </c>
      <c r="J84" s="1" t="s">
        <v>16</v>
      </c>
    </row>
    <row r="85" spans="1:10">
      <c r="A85" t="str">
        <f>VLOOKUP(LEFT(B85,4),name,2,FALSE)</f>
        <v>营业损益</v>
      </c>
      <c r="B85" t="s">
        <v>22</v>
      </c>
      <c r="C85" t="str">
        <f>VLOOKUP(D85,name,2,FALSE)</f>
        <v>销货折让</v>
      </c>
      <c r="D85">
        <v>5121</v>
      </c>
      <c r="E85">
        <v>0.36</v>
      </c>
      <c r="I85" s="1" t="s">
        <v>142</v>
      </c>
      <c r="J85" s="1" t="s">
        <v>17</v>
      </c>
    </row>
    <row r="86" spans="1:10">
      <c r="A86" t="str">
        <f>VLOOKUP(LEFT(B86,4),name,2,FALSE)</f>
        <v>营业损益</v>
      </c>
      <c r="B86" t="s">
        <v>22</v>
      </c>
      <c r="C86" t="str">
        <f>VLOOKUP(D86,name,2,FALSE)</f>
        <v>销货成本</v>
      </c>
      <c r="D86">
        <v>4101</v>
      </c>
      <c r="E86">
        <v>-0.36</v>
      </c>
      <c r="I86" s="1">
        <v>5501</v>
      </c>
      <c r="J86" s="1" t="s">
        <v>143</v>
      </c>
    </row>
    <row r="87" spans="1:10">
      <c r="A87" t="str">
        <f>VLOOKUP(LEFT(B87,4),name,2,FALSE)</f>
        <v>营业损益</v>
      </c>
      <c r="B87" t="s">
        <v>22</v>
      </c>
      <c r="C87" t="str">
        <f>VLOOKUP(D87,name,2,FALSE)</f>
        <v>销货成本退回</v>
      </c>
      <c r="D87">
        <v>4111</v>
      </c>
      <c r="E87">
        <v>-0.36</v>
      </c>
      <c r="I87" s="1">
        <v>550101</v>
      </c>
      <c r="J87" s="1" t="s">
        <v>144</v>
      </c>
    </row>
    <row r="88" spans="1:10">
      <c r="A88" t="str">
        <f>VLOOKUP(LEFT(B88,4),name,2,FALSE)</f>
        <v>营业损益</v>
      </c>
      <c r="B88" t="s">
        <v>22</v>
      </c>
      <c r="C88" t="str">
        <f>VLOOKUP(D88,name,2,FALSE)</f>
        <v>销货成本-工厂成本与业务成本差额-业务协议价差额</v>
      </c>
      <c r="D88">
        <v>41019901</v>
      </c>
      <c r="E88">
        <v>-0.36</v>
      </c>
      <c r="I88" s="1">
        <v>55010101</v>
      </c>
      <c r="J88" s="1" t="s">
        <v>145</v>
      </c>
    </row>
    <row r="89" spans="1:10">
      <c r="A89" t="str">
        <f>VLOOKUP(LEFT(B89,4),name,2,FALSE)</f>
        <v>营业损益</v>
      </c>
      <c r="B89" t="s">
        <v>22</v>
      </c>
      <c r="C89" t="str">
        <f>VLOOKUP(D89,name,2,FALSE)</f>
        <v>其他业务收入</v>
      </c>
      <c r="D89">
        <v>5102</v>
      </c>
      <c r="E89">
        <v>1</v>
      </c>
      <c r="I89" s="1">
        <v>55010102</v>
      </c>
      <c r="J89" s="1" t="s">
        <v>146</v>
      </c>
    </row>
    <row r="90" spans="1:10">
      <c r="A90" t="str">
        <f>VLOOKUP(LEFT(B90,4),name,2,FALSE)</f>
        <v>营业损益</v>
      </c>
      <c r="B90" t="s">
        <v>22</v>
      </c>
      <c r="C90" t="str">
        <f>VLOOKUP(D90,name,2,FALSE)</f>
        <v>行政毛利分配(GMLB)</v>
      </c>
      <c r="D90">
        <v>89990902</v>
      </c>
      <c r="E90">
        <v>1</v>
      </c>
      <c r="I90" s="1">
        <v>55010103</v>
      </c>
      <c r="J90" s="1" t="s">
        <v>147</v>
      </c>
    </row>
    <row r="91" spans="1:10">
      <c r="A91" t="str">
        <f>VLOOKUP(LEFT(B91,4),name,2,FALSE)</f>
        <v>营业损益</v>
      </c>
      <c r="B91" t="s">
        <v>22</v>
      </c>
      <c r="C91" t="str">
        <f>VLOOKUP(D91,name,2,FALSE)</f>
        <v>研发毛利分配(RD)</v>
      </c>
      <c r="D91">
        <v>89990903</v>
      </c>
      <c r="E91">
        <v>1</v>
      </c>
      <c r="I91" s="1">
        <v>550102</v>
      </c>
      <c r="J91" s="1" t="s">
        <v>148</v>
      </c>
    </row>
    <row r="92" spans="1:10">
      <c r="A92" t="str">
        <f>VLOOKUP(LEFT(B92,4),name,2,FALSE)</f>
        <v>营业损益</v>
      </c>
      <c r="B92" t="s">
        <v>22</v>
      </c>
      <c r="C92" t="str">
        <f>VLOOKUP(D92,name,2,FALSE)</f>
        <v>业务行政组毛利分配(YZ01)</v>
      </c>
      <c r="D92">
        <v>89990904</v>
      </c>
      <c r="E92">
        <v>1</v>
      </c>
      <c r="I92" s="1">
        <v>550103</v>
      </c>
      <c r="J92" s="1" t="s">
        <v>149</v>
      </c>
    </row>
    <row r="93" spans="1:10">
      <c r="A93" t="str">
        <f>VLOOKUP(LEFT(B93,4),name,2,FALSE)</f>
        <v>营业损益</v>
      </c>
      <c r="B93" t="s">
        <v>22</v>
      </c>
      <c r="C93" t="str">
        <f>VLOOKUP(D93,name,2,FALSE)</f>
        <v>销货成本-工厂成本与业务成本差额-幕僚管理费收入</v>
      </c>
      <c r="D93">
        <v>41019902</v>
      </c>
      <c r="E93">
        <v>1</v>
      </c>
      <c r="I93" s="1">
        <v>550104</v>
      </c>
      <c r="J93" s="1" t="s">
        <v>150</v>
      </c>
    </row>
    <row r="94" spans="1:10">
      <c r="A94" t="str">
        <f>VLOOKUP(LEFT(B94,4),name,2,FALSE)</f>
        <v>营业损益</v>
      </c>
      <c r="B94" t="s">
        <v>22</v>
      </c>
      <c r="C94" t="str">
        <f>VLOOKUP(D94,name,2,FALSE)</f>
        <v>销货成本-工厂成本与业务成本差额-GMLA品牌费收入</v>
      </c>
      <c r="D94">
        <v>41019903</v>
      </c>
      <c r="E94">
        <v>1</v>
      </c>
      <c r="I94" s="1">
        <v>550105</v>
      </c>
      <c r="J94" s="1" t="s">
        <v>151</v>
      </c>
    </row>
    <row r="95" spans="1:10">
      <c r="A95" t="str">
        <f>VLOOKUP(LEFT(B95,4),name,2,FALSE)</f>
        <v>营业损益</v>
      </c>
      <c r="B95" t="s">
        <v>22</v>
      </c>
      <c r="C95" t="str">
        <f>VLOOKUP(D95,name,2,FALSE)</f>
        <v>销货成本-工厂成本与业务成本差额-生产库存差数</v>
      </c>
      <c r="D95">
        <v>41019904</v>
      </c>
      <c r="E95">
        <v>1</v>
      </c>
      <c r="I95" s="1">
        <v>550106</v>
      </c>
      <c r="J95" s="1" t="s">
        <v>152</v>
      </c>
    </row>
    <row r="96" spans="1:10">
      <c r="A96" t="str">
        <f>VLOOKUP(LEFT(B96,4),name,2,FALSE)</f>
        <v>营业损益</v>
      </c>
      <c r="B96" t="s">
        <v>22</v>
      </c>
      <c r="C96" t="str">
        <f>VLOOKUP(D96,name,2,FALSE)</f>
        <v>销货成本-工厂成本与业务成本差额-调整</v>
      </c>
      <c r="D96">
        <v>41019905</v>
      </c>
      <c r="E96">
        <v>1</v>
      </c>
      <c r="I96" s="1">
        <v>550107</v>
      </c>
      <c r="J96" s="1" t="s">
        <v>153</v>
      </c>
    </row>
    <row r="97" spans="1:10">
      <c r="A97" t="str">
        <f>VLOOKUP(LEFT(B97,4),name,2,FALSE)</f>
        <v>营业损益</v>
      </c>
      <c r="B97" t="s">
        <v>22</v>
      </c>
      <c r="C97" t="str">
        <f>VLOOKUP(D97,name,2,FALSE)</f>
        <v>其他业务成本</v>
      </c>
      <c r="D97">
        <v>4102</v>
      </c>
      <c r="E97">
        <v>-1</v>
      </c>
      <c r="I97" s="1">
        <v>550108</v>
      </c>
      <c r="J97" s="1" t="s">
        <v>154</v>
      </c>
    </row>
    <row r="98" spans="1:10">
      <c r="A98" t="str">
        <f>VLOOKUP(LEFT(B98,4),name,2,FALSE)</f>
        <v>营业损益</v>
      </c>
      <c r="B98" t="s">
        <v>22</v>
      </c>
      <c r="C98" t="str">
        <f>VLOOKUP(D98,name,2,FALSE)</f>
        <v>主营业务税金及附加</v>
      </c>
      <c r="D98">
        <v>4112</v>
      </c>
      <c r="E98">
        <v>-1</v>
      </c>
      <c r="I98" s="1">
        <v>550109</v>
      </c>
      <c r="J98" s="1" t="s">
        <v>155</v>
      </c>
    </row>
    <row r="99" spans="1:10">
      <c r="A99" t="str">
        <f>VLOOKUP(LEFT(B99,4),name,2,FALSE)</f>
        <v>营业损益</v>
      </c>
      <c r="B99" t="s">
        <v>22</v>
      </c>
      <c r="C99" t="str">
        <f>VLOOKUP(D99,name,2,FALSE)</f>
        <v>不予免抵退税额及进项税转出</v>
      </c>
      <c r="D99">
        <v>4113</v>
      </c>
      <c r="E99">
        <v>-1</v>
      </c>
      <c r="I99" s="1">
        <v>55010901</v>
      </c>
      <c r="J99" s="1" t="s">
        <v>156</v>
      </c>
    </row>
    <row r="100" spans="1:10">
      <c r="A100" t="str">
        <f>VLOOKUP(LEFT(B100,4),name,2,FALSE)</f>
        <v>营业损益</v>
      </c>
      <c r="B100" t="s">
        <v>22</v>
      </c>
      <c r="C100" t="str">
        <f>VLOOKUP(D100,name,2,FALSE)</f>
        <v>营业费用</v>
      </c>
      <c r="D100">
        <v>5501</v>
      </c>
      <c r="E100">
        <v>-1</v>
      </c>
      <c r="I100" s="1">
        <v>55010902</v>
      </c>
      <c r="J100" s="1" t="s">
        <v>157</v>
      </c>
    </row>
    <row r="101" spans="1:10">
      <c r="A101" t="str">
        <f>VLOOKUP(LEFT(B101,4),name,2,FALSE)</f>
        <v>营业损益</v>
      </c>
      <c r="B101" t="s">
        <v>22</v>
      </c>
      <c r="C101" t="str">
        <f>VLOOKUP(D101,name,2,FALSE)</f>
        <v>研究发展费用</v>
      </c>
      <c r="D101">
        <v>5701</v>
      </c>
      <c r="E101">
        <v>-1</v>
      </c>
      <c r="I101" s="1">
        <v>55010903</v>
      </c>
      <c r="J101" s="1" t="s">
        <v>158</v>
      </c>
    </row>
    <row r="102" spans="1:10">
      <c r="A102" t="str">
        <f>VLOOKUP(LEFT(B102,4),name,2,FALSE)</f>
        <v>营业损益</v>
      </c>
      <c r="B102" t="s">
        <v>22</v>
      </c>
      <c r="C102" t="str">
        <f>VLOOKUP(D102,name,2,FALSE)</f>
        <v>财务费用</v>
      </c>
      <c r="D102">
        <v>5801</v>
      </c>
      <c r="E102">
        <v>-1</v>
      </c>
      <c r="I102" s="1">
        <v>550110</v>
      </c>
      <c r="J102" s="1" t="s">
        <v>159</v>
      </c>
    </row>
    <row r="103" spans="1:10">
      <c r="A103" t="str">
        <f>VLOOKUP(LEFT(B103,4),name,2,FALSE)</f>
        <v>营业损益</v>
      </c>
      <c r="B103" t="s">
        <v>22</v>
      </c>
      <c r="C103" t="str">
        <f>VLOOKUP(D103,name,2,FALSE)</f>
        <v>管理费用</v>
      </c>
      <c r="D103">
        <v>5601</v>
      </c>
      <c r="E103">
        <v>-1</v>
      </c>
      <c r="I103" s="1">
        <v>550111</v>
      </c>
      <c r="J103" s="1" t="s">
        <v>160</v>
      </c>
    </row>
    <row r="104" spans="1:10">
      <c r="A104" t="str">
        <f>VLOOKUP(LEFT(B104,4),name,2,FALSE)</f>
        <v>营业损益率</v>
      </c>
      <c r="B104" t="s">
        <v>23</v>
      </c>
      <c r="C104" t="str">
        <f>VLOOKUP(D104,name,2,FALSE)</f>
        <v>销货收入</v>
      </c>
      <c r="D104">
        <v>5101</v>
      </c>
      <c r="E104">
        <v>0.36</v>
      </c>
      <c r="I104" s="1">
        <v>550112</v>
      </c>
      <c r="J104" s="1" t="s">
        <v>161</v>
      </c>
    </row>
    <row r="105" spans="1:10">
      <c r="A105" t="str">
        <f>VLOOKUP(LEFT(B105,4),name,2,FALSE)</f>
        <v>营业损益率</v>
      </c>
      <c r="B105" t="s">
        <v>23</v>
      </c>
      <c r="C105" t="str">
        <f>VLOOKUP(D105,name,2,FALSE)</f>
        <v>销货退回</v>
      </c>
      <c r="D105">
        <v>5111</v>
      </c>
      <c r="E105">
        <v>0.36</v>
      </c>
      <c r="I105" s="1">
        <v>550113</v>
      </c>
      <c r="J105" s="1" t="s">
        <v>162</v>
      </c>
    </row>
    <row r="106" spans="1:10">
      <c r="A106" t="str">
        <f>VLOOKUP(LEFT(B106,4),name,2,FALSE)</f>
        <v>营业损益率</v>
      </c>
      <c r="B106" t="s">
        <v>23</v>
      </c>
      <c r="C106" t="str">
        <f>VLOOKUP(D106,name,2,FALSE)</f>
        <v>销货折让</v>
      </c>
      <c r="D106">
        <v>5121</v>
      </c>
      <c r="E106">
        <v>0.36</v>
      </c>
      <c r="I106" s="1">
        <v>550114</v>
      </c>
      <c r="J106" s="1" t="s">
        <v>163</v>
      </c>
    </row>
    <row r="107" spans="1:10">
      <c r="A107" t="str">
        <f>VLOOKUP(LEFT(B107,4),name,2,FALSE)</f>
        <v>营业损益率</v>
      </c>
      <c r="B107" t="s">
        <v>23</v>
      </c>
      <c r="C107" t="str">
        <f>VLOOKUP(D107,name,2,FALSE)</f>
        <v>销货成本</v>
      </c>
      <c r="D107">
        <v>4101</v>
      </c>
      <c r="E107">
        <v>-0.36</v>
      </c>
      <c r="I107" s="1">
        <v>550115</v>
      </c>
      <c r="J107" s="1" t="s">
        <v>164</v>
      </c>
    </row>
    <row r="108" spans="1:10">
      <c r="A108" t="str">
        <f>VLOOKUP(LEFT(B108,4),name,2,FALSE)</f>
        <v>营业损益率</v>
      </c>
      <c r="B108" t="s">
        <v>23</v>
      </c>
      <c r="C108" t="str">
        <f>VLOOKUP(D108,name,2,FALSE)</f>
        <v>销货成本退回</v>
      </c>
      <c r="D108">
        <v>4111</v>
      </c>
      <c r="E108">
        <v>-0.36</v>
      </c>
      <c r="I108" s="1">
        <v>550116</v>
      </c>
      <c r="J108" s="1" t="s">
        <v>165</v>
      </c>
    </row>
    <row r="109" spans="1:10">
      <c r="A109" t="str">
        <f>VLOOKUP(LEFT(B109,4),name,2,FALSE)</f>
        <v>营业损益率</v>
      </c>
      <c r="B109" t="s">
        <v>23</v>
      </c>
      <c r="C109" t="str">
        <f>VLOOKUP(D109,name,2,FALSE)</f>
        <v>销货成本-工厂成本与业务成本差额-业务协议价差额</v>
      </c>
      <c r="D109">
        <v>41019901</v>
      </c>
      <c r="E109">
        <v>-0.36</v>
      </c>
      <c r="I109" s="1">
        <v>55011601</v>
      </c>
      <c r="J109" s="1" t="s">
        <v>166</v>
      </c>
    </row>
    <row r="110" spans="1:10">
      <c r="A110" t="str">
        <f>VLOOKUP(LEFT(B110,4),name,2,FALSE)</f>
        <v>营业损益率</v>
      </c>
      <c r="B110" t="s">
        <v>23</v>
      </c>
      <c r="C110" t="str">
        <f>VLOOKUP(D110,name,2,FALSE)</f>
        <v>其他业务收入</v>
      </c>
      <c r="D110">
        <v>5102</v>
      </c>
      <c r="E110">
        <v>1</v>
      </c>
      <c r="I110" s="1">
        <v>55011602</v>
      </c>
      <c r="J110" s="1" t="s">
        <v>167</v>
      </c>
    </row>
    <row r="111" spans="1:10">
      <c r="A111" t="str">
        <f>VLOOKUP(LEFT(B111,4),name,2,FALSE)</f>
        <v>营业损益率</v>
      </c>
      <c r="B111" t="s">
        <v>23</v>
      </c>
      <c r="C111" t="str">
        <f>VLOOKUP(D111,name,2,FALSE)</f>
        <v>行政毛利分配(GMLB)</v>
      </c>
      <c r="D111">
        <v>89990902</v>
      </c>
      <c r="E111">
        <v>1</v>
      </c>
      <c r="I111" s="1">
        <v>55011603</v>
      </c>
      <c r="J111" s="1" t="s">
        <v>168</v>
      </c>
    </row>
    <row r="112" spans="1:10">
      <c r="A112" t="str">
        <f>VLOOKUP(LEFT(B112,4),name,2,FALSE)</f>
        <v>营业损益率</v>
      </c>
      <c r="B112" t="s">
        <v>23</v>
      </c>
      <c r="C112" t="str">
        <f>VLOOKUP(D112,name,2,FALSE)</f>
        <v>研发毛利分配(RD)</v>
      </c>
      <c r="D112">
        <v>89990903</v>
      </c>
      <c r="E112">
        <v>1</v>
      </c>
      <c r="I112" s="1">
        <v>550117</v>
      </c>
      <c r="J112" s="1" t="s">
        <v>169</v>
      </c>
    </row>
    <row r="113" spans="1:10">
      <c r="A113" t="str">
        <f>VLOOKUP(LEFT(B113,4),name,2,FALSE)</f>
        <v>营业损益率</v>
      </c>
      <c r="B113" t="s">
        <v>23</v>
      </c>
      <c r="C113" t="str">
        <f>VLOOKUP(D113,name,2,FALSE)</f>
        <v>业务行政组毛利分配(YZ01)</v>
      </c>
      <c r="D113">
        <v>89990904</v>
      </c>
      <c r="E113">
        <v>1</v>
      </c>
      <c r="I113" s="1">
        <v>550118</v>
      </c>
      <c r="J113" s="1" t="s">
        <v>170</v>
      </c>
    </row>
    <row r="114" spans="1:10">
      <c r="A114" t="str">
        <f>VLOOKUP(LEFT(B114,4),name,2,FALSE)</f>
        <v>营业损益率</v>
      </c>
      <c r="B114" t="s">
        <v>23</v>
      </c>
      <c r="C114" t="str">
        <f>VLOOKUP(D114,name,2,FALSE)</f>
        <v>销货成本-工厂成本与业务成本差额-幕僚管理费收入</v>
      </c>
      <c r="D114">
        <v>41019902</v>
      </c>
      <c r="E114">
        <v>1</v>
      </c>
      <c r="I114" s="1">
        <v>550119</v>
      </c>
      <c r="J114" s="1" t="s">
        <v>171</v>
      </c>
    </row>
    <row r="115" spans="1:10">
      <c r="A115" t="str">
        <f>VLOOKUP(LEFT(B115,4),name,2,FALSE)</f>
        <v>营业损益率</v>
      </c>
      <c r="B115" t="s">
        <v>23</v>
      </c>
      <c r="C115" t="str">
        <f>VLOOKUP(D115,name,2,FALSE)</f>
        <v>销货成本-工厂成本与业务成本差额-GMLA品牌费收入</v>
      </c>
      <c r="D115">
        <v>41019903</v>
      </c>
      <c r="E115">
        <v>1</v>
      </c>
      <c r="I115" s="1">
        <v>55011901</v>
      </c>
      <c r="J115" s="1" t="s">
        <v>172</v>
      </c>
    </row>
    <row r="116" spans="1:10">
      <c r="A116" t="str">
        <f>VLOOKUP(LEFT(B116,4),name,2,FALSE)</f>
        <v>营业损益率</v>
      </c>
      <c r="B116" t="s">
        <v>23</v>
      </c>
      <c r="C116" t="str">
        <f>VLOOKUP(D116,name,2,FALSE)</f>
        <v>销货成本-工厂成本与业务成本差额-生产库存差数</v>
      </c>
      <c r="D116">
        <v>41019904</v>
      </c>
      <c r="E116">
        <v>1</v>
      </c>
      <c r="I116" s="1">
        <v>55011902</v>
      </c>
      <c r="J116" s="1" t="s">
        <v>173</v>
      </c>
    </row>
    <row r="117" spans="1:10">
      <c r="A117" t="str">
        <f>VLOOKUP(LEFT(B117,4),name,2,FALSE)</f>
        <v>营业损益率</v>
      </c>
      <c r="B117" t="s">
        <v>23</v>
      </c>
      <c r="C117" t="str">
        <f>VLOOKUP(D117,name,2,FALSE)</f>
        <v>销货成本-工厂成本与业务成本差额-调整</v>
      </c>
      <c r="D117">
        <v>41019905</v>
      </c>
      <c r="E117">
        <v>1</v>
      </c>
      <c r="I117" s="1">
        <v>550120</v>
      </c>
      <c r="J117" s="1" t="s">
        <v>174</v>
      </c>
    </row>
    <row r="118" spans="1:10">
      <c r="A118" t="str">
        <f>VLOOKUP(LEFT(B118,4),name,2,FALSE)</f>
        <v>营业损益率</v>
      </c>
      <c r="B118" t="s">
        <v>23</v>
      </c>
      <c r="C118" t="str">
        <f>VLOOKUP(D118,name,2,FALSE)</f>
        <v>其他业务成本</v>
      </c>
      <c r="D118">
        <v>4102</v>
      </c>
      <c r="E118">
        <v>-1</v>
      </c>
      <c r="I118" s="1">
        <v>550121</v>
      </c>
      <c r="J118" s="1" t="s">
        <v>175</v>
      </c>
    </row>
    <row r="119" spans="1:10">
      <c r="A119" t="str">
        <f>VLOOKUP(LEFT(B119,4),name,2,FALSE)</f>
        <v>营业损益率</v>
      </c>
      <c r="B119" t="s">
        <v>23</v>
      </c>
      <c r="C119" t="str">
        <f>VLOOKUP(D119,name,2,FALSE)</f>
        <v>主营业务税金及附加</v>
      </c>
      <c r="D119">
        <v>4112</v>
      </c>
      <c r="E119">
        <v>-1</v>
      </c>
      <c r="I119" s="1">
        <v>550122</v>
      </c>
      <c r="J119" s="1" t="s">
        <v>176</v>
      </c>
    </row>
    <row r="120" spans="1:10">
      <c r="A120" t="str">
        <f>VLOOKUP(LEFT(B120,4),name,2,FALSE)</f>
        <v>营业损益率</v>
      </c>
      <c r="B120" t="s">
        <v>23</v>
      </c>
      <c r="C120" t="str">
        <f>VLOOKUP(D120,name,2,FALSE)</f>
        <v>不予免抵退税额及进项税转出</v>
      </c>
      <c r="D120">
        <v>4113</v>
      </c>
      <c r="E120">
        <v>-1</v>
      </c>
      <c r="I120" s="1">
        <v>55012201</v>
      </c>
      <c r="J120" s="1" t="s">
        <v>177</v>
      </c>
    </row>
    <row r="121" spans="1:10">
      <c r="A121" t="str">
        <f>VLOOKUP(LEFT(B121,4),name,2,FALSE)</f>
        <v>营业损益率</v>
      </c>
      <c r="B121" t="s">
        <v>23</v>
      </c>
      <c r="C121" t="str">
        <f>VLOOKUP(D121,name,2,FALSE)</f>
        <v>营业费用</v>
      </c>
      <c r="D121">
        <v>5501</v>
      </c>
      <c r="E121">
        <v>-1</v>
      </c>
      <c r="I121" s="1">
        <v>55012202</v>
      </c>
      <c r="J121" s="1" t="s">
        <v>178</v>
      </c>
    </row>
    <row r="122" spans="1:10">
      <c r="A122" t="str">
        <f>VLOOKUP(LEFT(B122,4),name,2,FALSE)</f>
        <v>营业损益率</v>
      </c>
      <c r="B122" t="s">
        <v>23</v>
      </c>
      <c r="C122" t="str">
        <f>VLOOKUP(D122,name,2,FALSE)</f>
        <v>研究发展费用</v>
      </c>
      <c r="D122">
        <v>5701</v>
      </c>
      <c r="E122">
        <v>-1</v>
      </c>
      <c r="I122" s="1">
        <v>550123</v>
      </c>
      <c r="J122" s="1" t="s">
        <v>179</v>
      </c>
    </row>
    <row r="123" spans="1:10">
      <c r="A123" t="str">
        <f>VLOOKUP(LEFT(B123,4),name,2,FALSE)</f>
        <v>营业损益率</v>
      </c>
      <c r="B123" t="s">
        <v>23</v>
      </c>
      <c r="C123" t="str">
        <f>VLOOKUP(D123,name,2,FALSE)</f>
        <v>财务费用</v>
      </c>
      <c r="D123">
        <v>5801</v>
      </c>
      <c r="E123">
        <v>-1</v>
      </c>
      <c r="I123" s="1">
        <v>550124</v>
      </c>
      <c r="J123" s="1" t="s">
        <v>180</v>
      </c>
    </row>
    <row r="124" spans="1:10">
      <c r="A124" t="str">
        <f>VLOOKUP(LEFT(B124,4),name,2,FALSE)</f>
        <v>营业损益率</v>
      </c>
      <c r="B124" t="s">
        <v>23</v>
      </c>
      <c r="C124" t="str">
        <f>VLOOKUP(D124,name,2,FALSE)</f>
        <v>管理费用</v>
      </c>
      <c r="D124">
        <v>5601</v>
      </c>
      <c r="E124">
        <v>-1</v>
      </c>
      <c r="I124" s="1">
        <v>550125</v>
      </c>
      <c r="J124" s="1" t="s">
        <v>181</v>
      </c>
    </row>
    <row r="125" spans="1:10">
      <c r="A125" t="str">
        <f>VLOOKUP(LEFT(B125,4),name,2,FALSE)</f>
        <v>营业损益率</v>
      </c>
      <c r="B125" t="s">
        <v>24</v>
      </c>
      <c r="C125" t="str">
        <f>VLOOKUP(D125,name,2,FALSE)</f>
        <v>销货收入</v>
      </c>
      <c r="D125">
        <v>5101</v>
      </c>
      <c r="E125">
        <v>1</v>
      </c>
      <c r="I125" s="1">
        <v>55012501</v>
      </c>
      <c r="J125" s="1" t="s">
        <v>182</v>
      </c>
    </row>
    <row r="126" spans="1:10">
      <c r="A126" t="str">
        <f>VLOOKUP(LEFT(B126,4),name,2,FALSE)</f>
        <v>营业损益率</v>
      </c>
      <c r="B126" t="s">
        <v>24</v>
      </c>
      <c r="C126" t="str">
        <f>VLOOKUP(D126,name,2,FALSE)</f>
        <v>销货退回</v>
      </c>
      <c r="D126">
        <v>5111</v>
      </c>
      <c r="E126">
        <v>1</v>
      </c>
      <c r="I126" s="1">
        <v>55012509</v>
      </c>
      <c r="J126" s="1" t="s">
        <v>183</v>
      </c>
    </row>
    <row r="127" spans="1:10">
      <c r="A127" t="str">
        <f>VLOOKUP(LEFT(B127,4),name,2,FALSE)</f>
        <v>营业损益率</v>
      </c>
      <c r="B127" t="s">
        <v>24</v>
      </c>
      <c r="C127" t="str">
        <f>VLOOKUP(D127,name,2,FALSE)</f>
        <v>销货折让</v>
      </c>
      <c r="D127">
        <v>5121</v>
      </c>
      <c r="E127">
        <v>1</v>
      </c>
      <c r="I127" s="1">
        <v>550126</v>
      </c>
      <c r="J127" s="1" t="s">
        <v>184</v>
      </c>
    </row>
    <row r="128" spans="1:10">
      <c r="A128" t="str">
        <f>VLOOKUP(LEFT(B128,4),name,2,FALSE)</f>
        <v>税前损益</v>
      </c>
      <c r="B128" t="s">
        <v>25</v>
      </c>
      <c r="C128" t="str">
        <f>VLOOKUP(D128,name,2,FALSE)</f>
        <v>销货收入</v>
      </c>
      <c r="D128">
        <v>5101</v>
      </c>
      <c r="E128">
        <v>0.36</v>
      </c>
      <c r="I128" s="1">
        <v>55012601</v>
      </c>
      <c r="J128" s="1" t="s">
        <v>185</v>
      </c>
    </row>
    <row r="129" spans="1:10">
      <c r="A129" t="str">
        <f>VLOOKUP(LEFT(B129,4),name,2,FALSE)</f>
        <v>税前损益</v>
      </c>
      <c r="B129" t="s">
        <v>25</v>
      </c>
      <c r="C129" t="str">
        <f>VLOOKUP(D129,name,2,FALSE)</f>
        <v>销货退回</v>
      </c>
      <c r="D129">
        <v>5111</v>
      </c>
      <c r="E129">
        <v>0.36</v>
      </c>
      <c r="I129" s="1">
        <v>55012602</v>
      </c>
      <c r="J129" s="1" t="s">
        <v>186</v>
      </c>
    </row>
    <row r="130" spans="1:10">
      <c r="A130" t="str">
        <f>VLOOKUP(LEFT(B130,4),name,2,FALSE)</f>
        <v>税前损益</v>
      </c>
      <c r="B130" t="s">
        <v>25</v>
      </c>
      <c r="C130" t="str">
        <f>VLOOKUP(D130,name,2,FALSE)</f>
        <v>销货折让</v>
      </c>
      <c r="D130">
        <v>5121</v>
      </c>
      <c r="E130">
        <v>0.36</v>
      </c>
      <c r="I130" s="1">
        <v>550127</v>
      </c>
      <c r="J130" s="1" t="s">
        <v>187</v>
      </c>
    </row>
    <row r="131" spans="1:10">
      <c r="A131" t="str">
        <f>VLOOKUP(LEFT(B131,4),name,2,FALSE)</f>
        <v>税前损益</v>
      </c>
      <c r="B131" t="s">
        <v>25</v>
      </c>
      <c r="C131" t="str">
        <f>VLOOKUP(D131,name,2,FALSE)</f>
        <v>销货成本</v>
      </c>
      <c r="D131">
        <v>4101</v>
      </c>
      <c r="E131">
        <v>-0.36</v>
      </c>
      <c r="I131" s="1">
        <v>550128</v>
      </c>
      <c r="J131" s="1" t="s">
        <v>188</v>
      </c>
    </row>
    <row r="132" spans="1:10">
      <c r="A132" t="str">
        <f>VLOOKUP(LEFT(B132,4),name,2,FALSE)</f>
        <v>税前损益</v>
      </c>
      <c r="B132" t="s">
        <v>25</v>
      </c>
      <c r="C132" t="str">
        <f>VLOOKUP(D132,name,2,FALSE)</f>
        <v>销货成本退回</v>
      </c>
      <c r="D132">
        <v>4111</v>
      </c>
      <c r="E132">
        <v>-0.36</v>
      </c>
      <c r="I132" s="1">
        <v>550130</v>
      </c>
      <c r="J132" s="1" t="s">
        <v>189</v>
      </c>
    </row>
    <row r="133" spans="1:10">
      <c r="A133" t="str">
        <f>VLOOKUP(LEFT(B133,4),name,2,FALSE)</f>
        <v>税前损益</v>
      </c>
      <c r="B133" t="s">
        <v>25</v>
      </c>
      <c r="C133" t="str">
        <f>VLOOKUP(D133,name,2,FALSE)</f>
        <v>销货成本-工厂成本与业务成本差额-业务协议价差额</v>
      </c>
      <c r="D133">
        <v>41019901</v>
      </c>
      <c r="E133">
        <v>-0.36</v>
      </c>
      <c r="I133" s="1">
        <v>550131</v>
      </c>
      <c r="J133" s="1" t="s">
        <v>190</v>
      </c>
    </row>
    <row r="134" spans="1:10">
      <c r="A134" t="str">
        <f>VLOOKUP(LEFT(B134,4),name,2,FALSE)</f>
        <v>税前损益</v>
      </c>
      <c r="B134" t="s">
        <v>25</v>
      </c>
      <c r="C134" t="str">
        <f>VLOOKUP(D134,name,2,FALSE)</f>
        <v>其他业务收入</v>
      </c>
      <c r="D134">
        <v>5102</v>
      </c>
      <c r="E134">
        <v>1</v>
      </c>
      <c r="I134" s="1">
        <v>550132</v>
      </c>
      <c r="J134" s="1" t="s">
        <v>191</v>
      </c>
    </row>
    <row r="135" spans="1:10">
      <c r="A135" t="str">
        <f>VLOOKUP(LEFT(B135,4),name,2,FALSE)</f>
        <v>税前损益</v>
      </c>
      <c r="B135" t="s">
        <v>25</v>
      </c>
      <c r="C135" t="str">
        <f>VLOOKUP(D135,name,2,FALSE)</f>
        <v>行政毛利分配(GMLB)</v>
      </c>
      <c r="D135">
        <v>89990902</v>
      </c>
      <c r="E135">
        <v>1</v>
      </c>
      <c r="I135" s="1">
        <v>550133</v>
      </c>
      <c r="J135" s="1" t="s">
        <v>192</v>
      </c>
    </row>
    <row r="136" spans="1:10">
      <c r="A136" t="str">
        <f>VLOOKUP(LEFT(B136,4),name,2,FALSE)</f>
        <v>税前损益</v>
      </c>
      <c r="B136" t="s">
        <v>25</v>
      </c>
      <c r="C136" t="str">
        <f>VLOOKUP(D136,name,2,FALSE)</f>
        <v>研发毛利分配(RD)</v>
      </c>
      <c r="D136">
        <v>89990903</v>
      </c>
      <c r="E136">
        <v>1</v>
      </c>
      <c r="I136" s="1">
        <v>550134</v>
      </c>
      <c r="J136" s="1" t="s">
        <v>193</v>
      </c>
    </row>
    <row r="137" spans="1:10">
      <c r="A137" t="str">
        <f>VLOOKUP(LEFT(B137,4),name,2,FALSE)</f>
        <v>税前损益</v>
      </c>
      <c r="B137" t="s">
        <v>25</v>
      </c>
      <c r="C137" t="str">
        <f>VLOOKUP(D137,name,2,FALSE)</f>
        <v>业务行政组毛利分配(YZ01)</v>
      </c>
      <c r="D137">
        <v>89990904</v>
      </c>
      <c r="E137">
        <v>1</v>
      </c>
      <c r="I137" s="1">
        <v>550188</v>
      </c>
      <c r="J137" s="1" t="s">
        <v>194</v>
      </c>
    </row>
    <row r="138" spans="1:10">
      <c r="A138" t="str">
        <f>VLOOKUP(LEFT(B138,4),name,2,FALSE)</f>
        <v>税前损益</v>
      </c>
      <c r="B138" t="s">
        <v>25</v>
      </c>
      <c r="C138" t="str">
        <f>VLOOKUP(D138,name,2,FALSE)</f>
        <v>销货成本-工厂成本与业务成本差额-幕僚管理费收入</v>
      </c>
      <c r="D138">
        <v>41019902</v>
      </c>
      <c r="E138">
        <v>1</v>
      </c>
      <c r="I138" s="1">
        <v>550199</v>
      </c>
      <c r="J138" s="1" t="s">
        <v>195</v>
      </c>
    </row>
    <row r="139" spans="1:10">
      <c r="A139" t="str">
        <f>VLOOKUP(LEFT(B139,4),name,2,FALSE)</f>
        <v>税前损益</v>
      </c>
      <c r="B139" t="s">
        <v>25</v>
      </c>
      <c r="C139" t="str">
        <f>VLOOKUP(D139,name,2,FALSE)</f>
        <v>销货成本-工厂成本与业务成本差额-GMLA品牌费收入</v>
      </c>
      <c r="D139">
        <v>41019903</v>
      </c>
      <c r="E139">
        <v>1</v>
      </c>
      <c r="I139" s="1">
        <v>55019901</v>
      </c>
      <c r="J139" s="1" t="s">
        <v>196</v>
      </c>
    </row>
    <row r="140" spans="1:10">
      <c r="A140" t="str">
        <f>VLOOKUP(LEFT(B140,4),name,2,FALSE)</f>
        <v>税前损益</v>
      </c>
      <c r="B140" t="s">
        <v>25</v>
      </c>
      <c r="C140" t="str">
        <f>VLOOKUP(D140,name,2,FALSE)</f>
        <v>销货成本-工厂成本与业务成本差额-生产库存差数</v>
      </c>
      <c r="D140">
        <v>41019904</v>
      </c>
      <c r="E140">
        <v>1</v>
      </c>
      <c r="I140" s="1">
        <v>55019911</v>
      </c>
      <c r="J140" s="1" t="s">
        <v>197</v>
      </c>
    </row>
    <row r="141" spans="1:10">
      <c r="A141" t="str">
        <f>VLOOKUP(LEFT(B141,4),name,2,FALSE)</f>
        <v>税前损益</v>
      </c>
      <c r="B141" t="s">
        <v>25</v>
      </c>
      <c r="C141" t="str">
        <f>VLOOKUP(D141,name,2,FALSE)</f>
        <v>销货成本-工厂成本与业务成本差额-调整</v>
      </c>
      <c r="D141">
        <v>41019905</v>
      </c>
      <c r="E141">
        <v>1</v>
      </c>
      <c r="I141" s="1">
        <v>55019912</v>
      </c>
      <c r="J141" s="1" t="s">
        <v>198</v>
      </c>
    </row>
    <row r="142" spans="1:10">
      <c r="A142" t="str">
        <f>VLOOKUP(LEFT(B142,4),name,2,FALSE)</f>
        <v>税前损益</v>
      </c>
      <c r="B142" t="s">
        <v>25</v>
      </c>
      <c r="C142" t="str">
        <f>VLOOKUP(D142,name,2,FALSE)</f>
        <v>营业外收入</v>
      </c>
      <c r="D142">
        <v>7101</v>
      </c>
      <c r="E142">
        <v>1</v>
      </c>
      <c r="I142" s="1">
        <v>55019913</v>
      </c>
      <c r="J142" s="1" t="s">
        <v>199</v>
      </c>
    </row>
    <row r="143" spans="1:10">
      <c r="A143" t="str">
        <f>VLOOKUP(LEFT(B143,4),name,2,FALSE)</f>
        <v>税前损益</v>
      </c>
      <c r="B143" t="s">
        <v>25</v>
      </c>
      <c r="C143" t="str">
        <f>VLOOKUP(D143,name,2,FALSE)</f>
        <v>投资损益</v>
      </c>
      <c r="D143">
        <v>7301</v>
      </c>
      <c r="E143">
        <v>1</v>
      </c>
      <c r="I143" s="1">
        <v>55019914</v>
      </c>
      <c r="J143" s="1" t="s">
        <v>200</v>
      </c>
    </row>
    <row r="144" spans="1:10">
      <c r="A144" t="str">
        <f>VLOOKUP(LEFT(B144,4),name,2,FALSE)</f>
        <v>税前损益</v>
      </c>
      <c r="B144" t="s">
        <v>25</v>
      </c>
      <c r="C144" t="str">
        <f>VLOOKUP(D144,name,2,FALSE)</f>
        <v>以前年度损益调整</v>
      </c>
      <c r="D144">
        <v>7901</v>
      </c>
      <c r="E144">
        <v>1</v>
      </c>
      <c r="I144" s="1">
        <v>55019915</v>
      </c>
      <c r="J144" s="1" t="s">
        <v>201</v>
      </c>
    </row>
    <row r="145" spans="1:10">
      <c r="A145" t="str">
        <f>VLOOKUP(LEFT(B145,4),name,2,FALSE)</f>
        <v>税前损益</v>
      </c>
      <c r="B145" t="s">
        <v>25</v>
      </c>
      <c r="C145" t="str">
        <f>VLOOKUP(D145,name,2,FALSE)</f>
        <v>其他业务成本</v>
      </c>
      <c r="D145">
        <v>4102</v>
      </c>
      <c r="E145">
        <v>-1</v>
      </c>
      <c r="I145" s="1">
        <v>55019916</v>
      </c>
      <c r="J145" s="1" t="s">
        <v>202</v>
      </c>
    </row>
    <row r="146" spans="1:10">
      <c r="A146" t="str">
        <f>VLOOKUP(LEFT(B146,4),name,2,FALSE)</f>
        <v>税前损益</v>
      </c>
      <c r="B146" t="s">
        <v>25</v>
      </c>
      <c r="C146" t="str">
        <f>VLOOKUP(D146,name,2,FALSE)</f>
        <v>主营业务税金及附加</v>
      </c>
      <c r="D146">
        <v>4112</v>
      </c>
      <c r="E146">
        <v>-1</v>
      </c>
      <c r="I146" s="1" t="s">
        <v>18</v>
      </c>
      <c r="J146" s="1" t="s">
        <v>203</v>
      </c>
    </row>
    <row r="147" spans="1:10">
      <c r="A147" t="str">
        <f>VLOOKUP(LEFT(B147,4),name,2,FALSE)</f>
        <v>税前损益</v>
      </c>
      <c r="B147" t="s">
        <v>25</v>
      </c>
      <c r="C147" t="str">
        <f>VLOOKUP(D147,name,2,FALSE)</f>
        <v>不予免抵退税额及进项税转出</v>
      </c>
      <c r="D147">
        <v>4113</v>
      </c>
      <c r="E147">
        <v>-1</v>
      </c>
      <c r="I147" s="1">
        <v>5601</v>
      </c>
      <c r="J147" s="1" t="s">
        <v>204</v>
      </c>
    </row>
    <row r="148" spans="1:10">
      <c r="A148" t="str">
        <f>VLOOKUP(LEFT(B148,4),name,2,FALSE)</f>
        <v>税前损益</v>
      </c>
      <c r="B148" t="s">
        <v>25</v>
      </c>
      <c r="C148" t="str">
        <f>VLOOKUP(D148,name,2,FALSE)</f>
        <v>营业费用</v>
      </c>
      <c r="D148">
        <v>5501</v>
      </c>
      <c r="E148">
        <v>-1</v>
      </c>
      <c r="I148" s="1" t="s">
        <v>205</v>
      </c>
      <c r="J148" s="1" t="s">
        <v>204</v>
      </c>
    </row>
    <row r="149" spans="1:10">
      <c r="A149" t="str">
        <f>VLOOKUP(LEFT(B149,4),name,2,FALSE)</f>
        <v>税前损益</v>
      </c>
      <c r="B149" t="s">
        <v>25</v>
      </c>
      <c r="C149" t="str">
        <f>VLOOKUP(D149,name,2,FALSE)</f>
        <v>研究发展费用</v>
      </c>
      <c r="D149">
        <v>5701</v>
      </c>
      <c r="E149">
        <v>-1</v>
      </c>
      <c r="I149" s="1">
        <v>560101</v>
      </c>
      <c r="J149" s="1" t="s">
        <v>206</v>
      </c>
    </row>
    <row r="150" spans="1:10">
      <c r="A150" t="str">
        <f>VLOOKUP(LEFT(B150,4),name,2,FALSE)</f>
        <v>税前损益</v>
      </c>
      <c r="B150" t="s">
        <v>25</v>
      </c>
      <c r="C150" t="str">
        <f>VLOOKUP(D150,name,2,FALSE)</f>
        <v>财务费用</v>
      </c>
      <c r="D150">
        <v>5801</v>
      </c>
      <c r="E150">
        <v>-1</v>
      </c>
      <c r="I150" s="1">
        <v>56010101</v>
      </c>
      <c r="J150" s="1" t="s">
        <v>207</v>
      </c>
    </row>
    <row r="151" spans="1:10">
      <c r="A151" t="str">
        <f>VLOOKUP(LEFT(B151,4),name,2,FALSE)</f>
        <v>税前损益</v>
      </c>
      <c r="B151" t="s">
        <v>25</v>
      </c>
      <c r="C151" t="str">
        <f>VLOOKUP(D151,name,2,FALSE)</f>
        <v>管理费用</v>
      </c>
      <c r="D151">
        <v>5601</v>
      </c>
      <c r="E151">
        <v>-1</v>
      </c>
      <c r="I151" s="1">
        <v>56010102</v>
      </c>
      <c r="J151" s="1" t="s">
        <v>208</v>
      </c>
    </row>
    <row r="152" spans="1:10">
      <c r="A152" t="str">
        <f>VLOOKUP(LEFT(B152,4),name,2,FALSE)</f>
        <v>税前损益</v>
      </c>
      <c r="B152" t="s">
        <v>25</v>
      </c>
      <c r="C152" t="str">
        <f>VLOOKUP(D152,name,2,FALSE)</f>
        <v>营业外支出</v>
      </c>
      <c r="D152">
        <v>7201</v>
      </c>
      <c r="E152">
        <v>-1</v>
      </c>
      <c r="I152" s="1">
        <v>56010103</v>
      </c>
      <c r="J152" s="1" t="s">
        <v>209</v>
      </c>
    </row>
    <row r="153" spans="1:10">
      <c r="A153" t="str">
        <f>VLOOKUP(LEFT(B153,4),name,2,FALSE)</f>
        <v>税前损益率</v>
      </c>
      <c r="B153" t="s">
        <v>26</v>
      </c>
      <c r="C153" t="str">
        <f>VLOOKUP(D153,name,2,FALSE)</f>
        <v>销货收入</v>
      </c>
      <c r="D153">
        <v>5101</v>
      </c>
      <c r="E153">
        <v>0.36</v>
      </c>
      <c r="I153" s="1">
        <v>56010104</v>
      </c>
      <c r="J153" s="1" t="s">
        <v>210</v>
      </c>
    </row>
    <row r="154" spans="1:10">
      <c r="A154" t="str">
        <f>VLOOKUP(LEFT(B154,4),name,2,FALSE)</f>
        <v>税前损益率</v>
      </c>
      <c r="B154" t="s">
        <v>26</v>
      </c>
      <c r="C154" t="str">
        <f>VLOOKUP(D154,name,2,FALSE)</f>
        <v>销货退回</v>
      </c>
      <c r="D154">
        <v>5111</v>
      </c>
      <c r="E154">
        <v>0.36</v>
      </c>
      <c r="I154" s="1">
        <v>560102</v>
      </c>
      <c r="J154" s="1" t="s">
        <v>211</v>
      </c>
    </row>
    <row r="155" spans="1:10">
      <c r="A155" t="str">
        <f>VLOOKUP(LEFT(B155,4),name,2,FALSE)</f>
        <v>税前损益率</v>
      </c>
      <c r="B155" t="s">
        <v>26</v>
      </c>
      <c r="C155" t="str">
        <f>VLOOKUP(D155,name,2,FALSE)</f>
        <v>销货折让</v>
      </c>
      <c r="D155">
        <v>5121</v>
      </c>
      <c r="E155">
        <v>0.36</v>
      </c>
      <c r="I155" s="1">
        <v>560103</v>
      </c>
      <c r="J155" s="1" t="s">
        <v>212</v>
      </c>
    </row>
    <row r="156" spans="1:10">
      <c r="A156" t="str">
        <f>VLOOKUP(LEFT(B156,4),name,2,FALSE)</f>
        <v>税前损益率</v>
      </c>
      <c r="B156" t="s">
        <v>26</v>
      </c>
      <c r="C156" t="str">
        <f>VLOOKUP(D156,name,2,FALSE)</f>
        <v>销货成本</v>
      </c>
      <c r="D156">
        <v>4101</v>
      </c>
      <c r="E156">
        <v>-0.36</v>
      </c>
      <c r="I156" s="1">
        <v>560104</v>
      </c>
      <c r="J156" s="1" t="s">
        <v>213</v>
      </c>
    </row>
    <row r="157" spans="1:10">
      <c r="A157" t="str">
        <f>VLOOKUP(LEFT(B157,4),name,2,FALSE)</f>
        <v>税前损益率</v>
      </c>
      <c r="B157" t="s">
        <v>26</v>
      </c>
      <c r="C157" t="str">
        <f>VLOOKUP(D157,name,2,FALSE)</f>
        <v>销货成本退回</v>
      </c>
      <c r="D157">
        <v>4111</v>
      </c>
      <c r="E157">
        <v>-0.36</v>
      </c>
      <c r="I157" s="1">
        <v>560105</v>
      </c>
      <c r="J157" s="1" t="s">
        <v>214</v>
      </c>
    </row>
    <row r="158" spans="1:10">
      <c r="A158" t="str">
        <f>VLOOKUP(LEFT(B158,4),name,2,FALSE)</f>
        <v>税前损益率</v>
      </c>
      <c r="B158" t="s">
        <v>26</v>
      </c>
      <c r="C158" t="str">
        <f>VLOOKUP(D158,name,2,FALSE)</f>
        <v>销货成本-工厂成本与业务成本差额-业务协议价差额</v>
      </c>
      <c r="D158">
        <v>41019901</v>
      </c>
      <c r="E158">
        <v>-0.36</v>
      </c>
      <c r="I158" s="1">
        <v>560106</v>
      </c>
      <c r="J158" s="1" t="s">
        <v>215</v>
      </c>
    </row>
    <row r="159" spans="1:10">
      <c r="A159" t="str">
        <f>VLOOKUP(LEFT(B159,4),name,2,FALSE)</f>
        <v>税前损益率</v>
      </c>
      <c r="B159" t="s">
        <v>26</v>
      </c>
      <c r="C159" t="str">
        <f>VLOOKUP(D159,name,2,FALSE)</f>
        <v>其他业务收入</v>
      </c>
      <c r="D159">
        <v>5102</v>
      </c>
      <c r="E159">
        <v>1</v>
      </c>
      <c r="I159" s="1">
        <v>560107</v>
      </c>
      <c r="J159" s="1" t="s">
        <v>216</v>
      </c>
    </row>
    <row r="160" spans="1:10">
      <c r="A160" t="str">
        <f>VLOOKUP(LEFT(B160,4),name,2,FALSE)</f>
        <v>税前损益率</v>
      </c>
      <c r="B160" t="s">
        <v>26</v>
      </c>
      <c r="C160" t="str">
        <f>VLOOKUP(D160,name,2,FALSE)</f>
        <v>行政毛利分配(GMLB)</v>
      </c>
      <c r="D160">
        <v>89990902</v>
      </c>
      <c r="E160">
        <v>1</v>
      </c>
      <c r="I160" s="1">
        <v>560108</v>
      </c>
      <c r="J160" s="1" t="s">
        <v>217</v>
      </c>
    </row>
    <row r="161" spans="1:10">
      <c r="A161" t="str">
        <f>VLOOKUP(LEFT(B161,4),name,2,FALSE)</f>
        <v>税前损益率</v>
      </c>
      <c r="B161" t="s">
        <v>26</v>
      </c>
      <c r="C161" t="str">
        <f>VLOOKUP(D161,name,2,FALSE)</f>
        <v>研发毛利分配(RD)</v>
      </c>
      <c r="D161">
        <v>89990903</v>
      </c>
      <c r="E161">
        <v>1</v>
      </c>
      <c r="I161" s="1">
        <v>560109</v>
      </c>
      <c r="J161" s="1" t="s">
        <v>218</v>
      </c>
    </row>
    <row r="162" spans="1:10">
      <c r="A162" t="str">
        <f>VLOOKUP(LEFT(B162,4),name,2,FALSE)</f>
        <v>税前损益率</v>
      </c>
      <c r="B162" t="s">
        <v>26</v>
      </c>
      <c r="C162" t="str">
        <f>VLOOKUP(D162,name,2,FALSE)</f>
        <v>业务行政组毛利分配(YZ01)</v>
      </c>
      <c r="D162">
        <v>89990904</v>
      </c>
      <c r="E162">
        <v>1</v>
      </c>
      <c r="I162" s="1">
        <v>56010901</v>
      </c>
      <c r="J162" s="1" t="s">
        <v>219</v>
      </c>
    </row>
    <row r="163" spans="1:10">
      <c r="A163" t="str">
        <f>VLOOKUP(LEFT(B163,4),name,2,FALSE)</f>
        <v>税前损益率</v>
      </c>
      <c r="B163" t="s">
        <v>26</v>
      </c>
      <c r="C163" t="str">
        <f>VLOOKUP(D163,name,2,FALSE)</f>
        <v>销货成本-工厂成本与业务成本差额-幕僚管理费收入</v>
      </c>
      <c r="D163">
        <v>41019902</v>
      </c>
      <c r="E163">
        <v>1</v>
      </c>
      <c r="I163" s="1">
        <v>56010902</v>
      </c>
      <c r="J163" s="1" t="s">
        <v>220</v>
      </c>
    </row>
    <row r="164" spans="1:10">
      <c r="A164" t="str">
        <f>VLOOKUP(LEFT(B164,4),name,2,FALSE)</f>
        <v>税前损益率</v>
      </c>
      <c r="B164" t="s">
        <v>26</v>
      </c>
      <c r="C164" t="str">
        <f>VLOOKUP(D164,name,2,FALSE)</f>
        <v>销货成本-工厂成本与业务成本差额-GMLA品牌费收入</v>
      </c>
      <c r="D164">
        <v>41019903</v>
      </c>
      <c r="E164">
        <v>1</v>
      </c>
      <c r="I164" s="1">
        <v>56010903</v>
      </c>
      <c r="J164" s="1" t="s">
        <v>221</v>
      </c>
    </row>
    <row r="165" spans="1:10">
      <c r="A165" t="str">
        <f>VLOOKUP(LEFT(B165,4),name,2,FALSE)</f>
        <v>税前损益率</v>
      </c>
      <c r="B165" t="s">
        <v>26</v>
      </c>
      <c r="C165" t="str">
        <f>VLOOKUP(D165,name,2,FALSE)</f>
        <v>销货成本-工厂成本与业务成本差额-生产库存差数</v>
      </c>
      <c r="D165">
        <v>41019904</v>
      </c>
      <c r="E165">
        <v>1</v>
      </c>
      <c r="I165" s="1">
        <v>560110</v>
      </c>
      <c r="J165" s="1" t="s">
        <v>222</v>
      </c>
    </row>
    <row r="166" spans="1:10">
      <c r="A166" t="str">
        <f>VLOOKUP(LEFT(B166,4),name,2,FALSE)</f>
        <v>税前损益率</v>
      </c>
      <c r="B166" t="s">
        <v>26</v>
      </c>
      <c r="C166" t="str">
        <f>VLOOKUP(D166,name,2,FALSE)</f>
        <v>销货成本-工厂成本与业务成本差额-调整</v>
      </c>
      <c r="D166">
        <v>41019905</v>
      </c>
      <c r="E166">
        <v>1</v>
      </c>
      <c r="I166" s="1">
        <v>56011001</v>
      </c>
      <c r="J166" s="1" t="s">
        <v>223</v>
      </c>
    </row>
    <row r="167" spans="1:10">
      <c r="A167" t="str">
        <f>VLOOKUP(LEFT(B167,4),name,2,FALSE)</f>
        <v>税前损益率</v>
      </c>
      <c r="B167" t="s">
        <v>26</v>
      </c>
      <c r="C167" t="str">
        <f>VLOOKUP(D167,name,2,FALSE)</f>
        <v>营业外收入</v>
      </c>
      <c r="D167">
        <v>7101</v>
      </c>
      <c r="E167">
        <v>1</v>
      </c>
      <c r="I167" s="1">
        <v>56011002</v>
      </c>
      <c r="J167" s="1" t="s">
        <v>224</v>
      </c>
    </row>
    <row r="168" spans="1:10">
      <c r="A168" t="str">
        <f>VLOOKUP(LEFT(B168,4),name,2,FALSE)</f>
        <v>税前损益率</v>
      </c>
      <c r="B168" t="s">
        <v>26</v>
      </c>
      <c r="C168" t="str">
        <f>VLOOKUP(D168,name,2,FALSE)</f>
        <v>投资损益</v>
      </c>
      <c r="D168">
        <v>7301</v>
      </c>
      <c r="E168">
        <v>1</v>
      </c>
      <c r="I168" s="1">
        <v>56011003</v>
      </c>
      <c r="J168" s="1" t="s">
        <v>225</v>
      </c>
    </row>
    <row r="169" spans="1:10">
      <c r="A169" t="str">
        <f>VLOOKUP(LEFT(B169,4),name,2,FALSE)</f>
        <v>税前损益率</v>
      </c>
      <c r="B169" t="s">
        <v>26</v>
      </c>
      <c r="C169" t="str">
        <f>VLOOKUP(D169,name,2,FALSE)</f>
        <v>以前年度损益调整</v>
      </c>
      <c r="D169">
        <v>7901</v>
      </c>
      <c r="E169">
        <v>1</v>
      </c>
      <c r="I169" s="1">
        <v>56011004</v>
      </c>
      <c r="J169" s="1" t="s">
        <v>226</v>
      </c>
    </row>
    <row r="170" spans="1:10">
      <c r="A170" t="str">
        <f>VLOOKUP(LEFT(B170,4),name,2,FALSE)</f>
        <v>税前损益率</v>
      </c>
      <c r="B170" t="s">
        <v>26</v>
      </c>
      <c r="C170" t="str">
        <f>VLOOKUP(D170,name,2,FALSE)</f>
        <v>其他业务成本</v>
      </c>
      <c r="D170">
        <v>4102</v>
      </c>
      <c r="E170">
        <v>-1</v>
      </c>
      <c r="I170" s="1">
        <v>56011005</v>
      </c>
      <c r="J170" s="1" t="s">
        <v>227</v>
      </c>
    </row>
    <row r="171" spans="1:10">
      <c r="A171" t="str">
        <f>VLOOKUP(LEFT(B171,4),name,2,FALSE)</f>
        <v>税前损益率</v>
      </c>
      <c r="B171" t="s">
        <v>26</v>
      </c>
      <c r="C171" t="str">
        <f>VLOOKUP(D171,name,2,FALSE)</f>
        <v>主营业务税金及附加</v>
      </c>
      <c r="D171">
        <v>4112</v>
      </c>
      <c r="E171">
        <v>-1</v>
      </c>
      <c r="I171" s="1">
        <v>56011006</v>
      </c>
      <c r="J171" s="1" t="s">
        <v>228</v>
      </c>
    </row>
    <row r="172" spans="1:10">
      <c r="A172" t="str">
        <f>VLOOKUP(LEFT(B172,4),name,2,FALSE)</f>
        <v>税前损益率</v>
      </c>
      <c r="B172" t="s">
        <v>26</v>
      </c>
      <c r="C172" t="str">
        <f>VLOOKUP(D172,name,2,FALSE)</f>
        <v>不予免抵退税额及进项税转出</v>
      </c>
      <c r="D172">
        <v>4113</v>
      </c>
      <c r="E172">
        <v>-1</v>
      </c>
      <c r="I172" s="1">
        <v>56011007</v>
      </c>
      <c r="J172" s="1" t="s">
        <v>229</v>
      </c>
    </row>
    <row r="173" spans="1:10">
      <c r="A173" t="str">
        <f>VLOOKUP(LEFT(B173,4),name,2,FALSE)</f>
        <v>税前损益率</v>
      </c>
      <c r="B173" t="s">
        <v>26</v>
      </c>
      <c r="C173" t="str">
        <f>VLOOKUP(D173,name,2,FALSE)</f>
        <v>营业费用</v>
      </c>
      <c r="D173">
        <v>5501</v>
      </c>
      <c r="E173">
        <v>-1</v>
      </c>
      <c r="I173" s="1">
        <v>56011008</v>
      </c>
      <c r="J173" s="1" t="s">
        <v>230</v>
      </c>
    </row>
    <row r="174" spans="1:10">
      <c r="A174" t="str">
        <f>VLOOKUP(LEFT(B174,4),name,2,FALSE)</f>
        <v>税前损益率</v>
      </c>
      <c r="B174" t="s">
        <v>26</v>
      </c>
      <c r="C174" t="str">
        <f>VLOOKUP(D174,name,2,FALSE)</f>
        <v>研究发展费用</v>
      </c>
      <c r="D174">
        <v>5701</v>
      </c>
      <c r="E174">
        <v>-1</v>
      </c>
      <c r="I174" s="1">
        <v>56011009</v>
      </c>
      <c r="J174" s="1" t="s">
        <v>231</v>
      </c>
    </row>
    <row r="175" spans="1:10">
      <c r="A175" t="str">
        <f>VLOOKUP(LEFT(B175,4),name,2,FALSE)</f>
        <v>税前损益率</v>
      </c>
      <c r="B175" t="s">
        <v>26</v>
      </c>
      <c r="C175" t="str">
        <f>VLOOKUP(D175,name,2,FALSE)</f>
        <v>财务费用</v>
      </c>
      <c r="D175">
        <v>5801</v>
      </c>
      <c r="E175">
        <v>-1</v>
      </c>
      <c r="I175" s="1">
        <v>560111</v>
      </c>
      <c r="J175" s="1" t="s">
        <v>232</v>
      </c>
    </row>
    <row r="176" spans="1:10">
      <c r="A176" t="str">
        <f>VLOOKUP(LEFT(B176,4),name,2,FALSE)</f>
        <v>税前损益率</v>
      </c>
      <c r="B176" t="s">
        <v>26</v>
      </c>
      <c r="C176" t="str">
        <f>VLOOKUP(D176,name,2,FALSE)</f>
        <v>管理费用</v>
      </c>
      <c r="D176">
        <v>5601</v>
      </c>
      <c r="E176">
        <v>-1</v>
      </c>
      <c r="I176" s="1">
        <v>560112</v>
      </c>
      <c r="J176" s="1" t="s">
        <v>233</v>
      </c>
    </row>
    <row r="177" spans="1:10">
      <c r="A177" t="str">
        <f>VLOOKUP(LEFT(B177,4),name,2,FALSE)</f>
        <v>税前损益率</v>
      </c>
      <c r="B177" t="s">
        <v>26</v>
      </c>
      <c r="C177" t="str">
        <f>VLOOKUP(D177,name,2,FALSE)</f>
        <v>营业外支出</v>
      </c>
      <c r="D177">
        <v>7201</v>
      </c>
      <c r="E177">
        <v>-1</v>
      </c>
      <c r="I177" s="1">
        <v>560113</v>
      </c>
      <c r="J177" s="1" t="s">
        <v>234</v>
      </c>
    </row>
    <row r="178" spans="1:10">
      <c r="A178" t="str">
        <f>VLOOKUP(LEFT(B178,4),name,2,FALSE)</f>
        <v>税前损益率</v>
      </c>
      <c r="B178" t="s">
        <v>27</v>
      </c>
      <c r="C178" t="str">
        <f>VLOOKUP(D178,name,2,FALSE)</f>
        <v>销货收入</v>
      </c>
      <c r="D178">
        <v>5101</v>
      </c>
      <c r="E178">
        <v>1</v>
      </c>
      <c r="I178" s="1">
        <v>56011301</v>
      </c>
      <c r="J178" s="1" t="s">
        <v>235</v>
      </c>
    </row>
    <row r="179" spans="1:10">
      <c r="A179" t="str">
        <f>VLOOKUP(LEFT(B179,4),name,2,FALSE)</f>
        <v>税前损益率</v>
      </c>
      <c r="B179" t="s">
        <v>27</v>
      </c>
      <c r="C179" t="str">
        <f>VLOOKUP(D179,name,2,FALSE)</f>
        <v>销货退回</v>
      </c>
      <c r="D179">
        <v>5111</v>
      </c>
      <c r="E179">
        <v>1</v>
      </c>
      <c r="I179" s="1">
        <v>5601130101</v>
      </c>
      <c r="J179" s="1" t="s">
        <v>236</v>
      </c>
    </row>
    <row r="180" spans="1:10">
      <c r="A180" t="str">
        <f>VLOOKUP(LEFT(B180,4),name,2,FALSE)</f>
        <v>税前损益率</v>
      </c>
      <c r="B180" t="s">
        <v>27</v>
      </c>
      <c r="C180" t="str">
        <f>VLOOKUP(D180,name,2,FALSE)</f>
        <v>销货折让</v>
      </c>
      <c r="D180">
        <v>5121</v>
      </c>
      <c r="E180">
        <v>1</v>
      </c>
      <c r="I180" s="1">
        <v>5601130102</v>
      </c>
      <c r="J180" s="1" t="s">
        <v>237</v>
      </c>
    </row>
    <row r="181" spans="1:10">
      <c r="A181" t="str">
        <f>VLOOKUP(LEFT(B181,4),name,2,FALSE)</f>
        <v>税后损益</v>
      </c>
      <c r="B181" t="s">
        <v>28</v>
      </c>
      <c r="C181" t="str">
        <f>VLOOKUP(D181,name,2,FALSE)</f>
        <v>销货收入</v>
      </c>
      <c r="D181">
        <v>5101</v>
      </c>
      <c r="E181">
        <v>0.36</v>
      </c>
      <c r="I181" s="1">
        <v>5601130103</v>
      </c>
      <c r="J181" s="1" t="s">
        <v>238</v>
      </c>
    </row>
    <row r="182" spans="1:10">
      <c r="A182" t="str">
        <f>VLOOKUP(LEFT(B182,4),name,2,FALSE)</f>
        <v>税后损益</v>
      </c>
      <c r="B182" t="s">
        <v>28</v>
      </c>
      <c r="C182" t="str">
        <f>VLOOKUP(D182,name,2,FALSE)</f>
        <v>销货退回</v>
      </c>
      <c r="D182">
        <v>5111</v>
      </c>
      <c r="E182">
        <v>0.36</v>
      </c>
      <c r="I182" s="1">
        <v>5601130104</v>
      </c>
      <c r="J182" s="1" t="s">
        <v>239</v>
      </c>
    </row>
    <row r="183" spans="1:10">
      <c r="A183" t="str">
        <f>VLOOKUP(LEFT(B183,4),name,2,FALSE)</f>
        <v>税后损益</v>
      </c>
      <c r="B183" t="s">
        <v>28</v>
      </c>
      <c r="C183" t="str">
        <f>VLOOKUP(D183,name,2,FALSE)</f>
        <v>销货折让</v>
      </c>
      <c r="D183">
        <v>5121</v>
      </c>
      <c r="E183">
        <v>0.36</v>
      </c>
      <c r="I183" s="1">
        <v>5601130105</v>
      </c>
      <c r="J183" s="1" t="s">
        <v>240</v>
      </c>
    </row>
    <row r="184" spans="1:10">
      <c r="A184" t="str">
        <f>VLOOKUP(LEFT(B184,4),name,2,FALSE)</f>
        <v>税后损益</v>
      </c>
      <c r="B184" t="s">
        <v>28</v>
      </c>
      <c r="C184" t="str">
        <f>VLOOKUP(D184,name,2,FALSE)</f>
        <v>销货成本</v>
      </c>
      <c r="D184">
        <v>4101</v>
      </c>
      <c r="E184">
        <v>-0.36</v>
      </c>
      <c r="I184" s="1">
        <v>5601130106</v>
      </c>
      <c r="J184" s="1" t="s">
        <v>241</v>
      </c>
    </row>
    <row r="185" spans="1:10">
      <c r="A185" t="str">
        <f>VLOOKUP(LEFT(B185,4),name,2,FALSE)</f>
        <v>税后损益</v>
      </c>
      <c r="B185" t="s">
        <v>28</v>
      </c>
      <c r="C185" t="str">
        <f>VLOOKUP(D185,name,2,FALSE)</f>
        <v>销货成本退回</v>
      </c>
      <c r="D185">
        <v>4111</v>
      </c>
      <c r="E185">
        <v>-0.36</v>
      </c>
      <c r="I185" s="1">
        <v>5601130107</v>
      </c>
      <c r="J185" s="1" t="s">
        <v>242</v>
      </c>
    </row>
    <row r="186" spans="1:10">
      <c r="A186" t="str">
        <f>VLOOKUP(LEFT(B186,4),name,2,FALSE)</f>
        <v>税后损益</v>
      </c>
      <c r="B186" t="s">
        <v>28</v>
      </c>
      <c r="C186" t="str">
        <f>VLOOKUP(D186,name,2,FALSE)</f>
        <v>销货成本-工厂成本与业务成本差额-业务协议价差额</v>
      </c>
      <c r="D186">
        <v>41019901</v>
      </c>
      <c r="E186">
        <v>-0.36</v>
      </c>
      <c r="I186" s="1">
        <v>5601130108</v>
      </c>
      <c r="J186" s="1" t="s">
        <v>243</v>
      </c>
    </row>
    <row r="187" spans="1:10">
      <c r="A187" t="str">
        <f>VLOOKUP(LEFT(B187,4),name,2,FALSE)</f>
        <v>税后损益</v>
      </c>
      <c r="B187" t="s">
        <v>28</v>
      </c>
      <c r="C187" t="str">
        <f>VLOOKUP(D187,name,2,FALSE)</f>
        <v>其他业务收入</v>
      </c>
      <c r="D187">
        <v>5102</v>
      </c>
      <c r="E187">
        <v>1</v>
      </c>
      <c r="I187" s="1">
        <v>56011302</v>
      </c>
      <c r="J187" s="1" t="s">
        <v>244</v>
      </c>
    </row>
    <row r="188" spans="1:10">
      <c r="A188" t="str">
        <f>VLOOKUP(LEFT(B188,4),name,2,FALSE)</f>
        <v>税后损益</v>
      </c>
      <c r="B188" t="s">
        <v>28</v>
      </c>
      <c r="C188" t="str">
        <f>VLOOKUP(D188,name,2,FALSE)</f>
        <v>行政毛利分配(GMLB)</v>
      </c>
      <c r="D188">
        <v>89990902</v>
      </c>
      <c r="E188">
        <v>1</v>
      </c>
      <c r="I188" s="1">
        <v>56011303</v>
      </c>
      <c r="J188" s="1" t="s">
        <v>245</v>
      </c>
    </row>
    <row r="189" spans="1:10">
      <c r="A189" t="str">
        <f>VLOOKUP(LEFT(B189,4),name,2,FALSE)</f>
        <v>税后损益</v>
      </c>
      <c r="B189" t="s">
        <v>28</v>
      </c>
      <c r="C189" t="str">
        <f>VLOOKUP(D189,name,2,FALSE)</f>
        <v>研发毛利分配(RD)</v>
      </c>
      <c r="D189">
        <v>89990903</v>
      </c>
      <c r="E189">
        <v>1</v>
      </c>
      <c r="I189" s="1">
        <v>560114</v>
      </c>
      <c r="J189" s="1" t="s">
        <v>246</v>
      </c>
    </row>
    <row r="190" spans="1:10">
      <c r="A190" t="str">
        <f>VLOOKUP(LEFT(B190,4),name,2,FALSE)</f>
        <v>税后损益</v>
      </c>
      <c r="B190" t="s">
        <v>28</v>
      </c>
      <c r="C190" t="str">
        <f>VLOOKUP(D190,name,2,FALSE)</f>
        <v>业务行政组毛利分配(YZ01)</v>
      </c>
      <c r="D190">
        <v>89990904</v>
      </c>
      <c r="E190">
        <v>1</v>
      </c>
      <c r="I190" s="1">
        <v>560115</v>
      </c>
      <c r="J190" s="1" t="s">
        <v>247</v>
      </c>
    </row>
    <row r="191" spans="1:10">
      <c r="A191" t="str">
        <f>VLOOKUP(LEFT(B191,4),name,2,FALSE)</f>
        <v>税后损益</v>
      </c>
      <c r="B191" t="s">
        <v>28</v>
      </c>
      <c r="C191" t="str">
        <f>VLOOKUP(D191,name,2,FALSE)</f>
        <v>销货成本-工厂成本与业务成本差额-幕僚管理费收入</v>
      </c>
      <c r="D191">
        <v>41019902</v>
      </c>
      <c r="E191">
        <v>1</v>
      </c>
      <c r="I191" s="1">
        <v>560116</v>
      </c>
      <c r="J191" s="1" t="s">
        <v>248</v>
      </c>
    </row>
    <row r="192" spans="1:10">
      <c r="A192" t="str">
        <f>VLOOKUP(LEFT(B192,4),name,2,FALSE)</f>
        <v>税后损益</v>
      </c>
      <c r="B192" t="s">
        <v>28</v>
      </c>
      <c r="C192" t="str">
        <f>VLOOKUP(D192,name,2,FALSE)</f>
        <v>销货成本-工厂成本与业务成本差额-GMLA品牌费收入</v>
      </c>
      <c r="D192">
        <v>41019903</v>
      </c>
      <c r="E192">
        <v>1</v>
      </c>
      <c r="I192" s="1">
        <v>56011601</v>
      </c>
      <c r="J192" s="1" t="s">
        <v>249</v>
      </c>
    </row>
    <row r="193" spans="1:10">
      <c r="A193" t="str">
        <f>VLOOKUP(LEFT(B193,4),name,2,FALSE)</f>
        <v>税后损益</v>
      </c>
      <c r="B193" t="s">
        <v>28</v>
      </c>
      <c r="C193" t="str">
        <f>VLOOKUP(D193,name,2,FALSE)</f>
        <v>销货成本-工厂成本与业务成本差额-生产库存差数</v>
      </c>
      <c r="D193">
        <v>41019904</v>
      </c>
      <c r="E193">
        <v>1</v>
      </c>
      <c r="I193" s="1">
        <v>56011602</v>
      </c>
      <c r="J193" s="1" t="s">
        <v>250</v>
      </c>
    </row>
    <row r="194" spans="1:10">
      <c r="A194" t="str">
        <f>VLOOKUP(LEFT(B194,4),name,2,FALSE)</f>
        <v>税后损益</v>
      </c>
      <c r="B194" t="s">
        <v>28</v>
      </c>
      <c r="C194" t="str">
        <f>VLOOKUP(D194,name,2,FALSE)</f>
        <v>销货成本-工厂成本与业务成本差额-调整</v>
      </c>
      <c r="D194">
        <v>41019905</v>
      </c>
      <c r="E194">
        <v>1</v>
      </c>
      <c r="I194" s="1">
        <v>56011603</v>
      </c>
      <c r="J194" s="1" t="s">
        <v>251</v>
      </c>
    </row>
    <row r="195" spans="1:10">
      <c r="A195" t="str">
        <f>VLOOKUP(LEFT(B195,4),name,2,FALSE)</f>
        <v>税后损益</v>
      </c>
      <c r="B195" t="s">
        <v>28</v>
      </c>
      <c r="C195" t="str">
        <f>VLOOKUP(D195,name,2,FALSE)</f>
        <v>营业外收入</v>
      </c>
      <c r="D195">
        <v>7101</v>
      </c>
      <c r="E195">
        <v>1</v>
      </c>
      <c r="I195" s="1">
        <v>560117</v>
      </c>
      <c r="J195" s="1" t="s">
        <v>252</v>
      </c>
    </row>
    <row r="196" spans="1:10">
      <c r="A196" t="str">
        <f>VLOOKUP(LEFT(B196,4),name,2,FALSE)</f>
        <v>税后损益</v>
      </c>
      <c r="B196" t="s">
        <v>28</v>
      </c>
      <c r="C196" t="str">
        <f>VLOOKUP(D196,name,2,FALSE)</f>
        <v>投资损益</v>
      </c>
      <c r="D196">
        <v>7301</v>
      </c>
      <c r="E196">
        <v>1</v>
      </c>
      <c r="I196" s="1">
        <v>560118</v>
      </c>
      <c r="J196" s="1" t="s">
        <v>253</v>
      </c>
    </row>
    <row r="197" spans="1:10">
      <c r="A197" t="str">
        <f>VLOOKUP(LEFT(B197,4),name,2,FALSE)</f>
        <v>税后损益</v>
      </c>
      <c r="B197" t="s">
        <v>28</v>
      </c>
      <c r="C197" t="str">
        <f>VLOOKUP(D197,name,2,FALSE)</f>
        <v>以前年度损益调整</v>
      </c>
      <c r="D197">
        <v>7901</v>
      </c>
      <c r="E197">
        <v>1</v>
      </c>
      <c r="I197" s="1">
        <v>56011801</v>
      </c>
      <c r="J197" s="1" t="s">
        <v>253</v>
      </c>
    </row>
    <row r="198" spans="1:10">
      <c r="A198" t="str">
        <f>VLOOKUP(LEFT(B198,4),name,2,FALSE)</f>
        <v>税后损益</v>
      </c>
      <c r="B198" t="s">
        <v>28</v>
      </c>
      <c r="C198" t="str">
        <f>VLOOKUP(D198,name,2,FALSE)</f>
        <v>其他业务成本</v>
      </c>
      <c r="D198">
        <v>4102</v>
      </c>
      <c r="E198">
        <v>-1</v>
      </c>
      <c r="I198" s="1">
        <v>560119</v>
      </c>
      <c r="J198" s="1" t="s">
        <v>254</v>
      </c>
    </row>
    <row r="199" spans="1:10">
      <c r="A199" t="str">
        <f>VLOOKUP(LEFT(B199,4),name,2,FALSE)</f>
        <v>税后损益</v>
      </c>
      <c r="B199" t="s">
        <v>28</v>
      </c>
      <c r="C199" t="str">
        <f>VLOOKUP(D199,name,2,FALSE)</f>
        <v>主营业务税金及附加</v>
      </c>
      <c r="D199">
        <v>4112</v>
      </c>
      <c r="E199">
        <v>-1</v>
      </c>
      <c r="I199" s="1">
        <v>56011901</v>
      </c>
      <c r="J199" s="1" t="s">
        <v>255</v>
      </c>
    </row>
    <row r="200" spans="1:10">
      <c r="A200" t="str">
        <f>VLOOKUP(LEFT(B200,4),name,2,FALSE)</f>
        <v>税后损益</v>
      </c>
      <c r="B200" t="s">
        <v>28</v>
      </c>
      <c r="C200" t="str">
        <f>VLOOKUP(D200,name,2,FALSE)</f>
        <v>不予免抵退税额及进项税转出</v>
      </c>
      <c r="D200">
        <v>4113</v>
      </c>
      <c r="E200">
        <v>-1</v>
      </c>
      <c r="I200" s="1">
        <v>56011902</v>
      </c>
      <c r="J200" s="1" t="s">
        <v>256</v>
      </c>
    </row>
    <row r="201" spans="1:10">
      <c r="A201" t="str">
        <f>VLOOKUP(LEFT(B201,4),name,2,FALSE)</f>
        <v>税后损益</v>
      </c>
      <c r="B201" t="s">
        <v>28</v>
      </c>
      <c r="C201" t="str">
        <f>VLOOKUP(D201,name,2,FALSE)</f>
        <v>营业费用</v>
      </c>
      <c r="D201">
        <v>5501</v>
      </c>
      <c r="E201">
        <v>-1</v>
      </c>
      <c r="I201" s="1">
        <v>560120</v>
      </c>
      <c r="J201" s="1" t="s">
        <v>257</v>
      </c>
    </row>
    <row r="202" spans="1:10">
      <c r="A202" t="str">
        <f>VLOOKUP(LEFT(B202,4),name,2,FALSE)</f>
        <v>税后损益</v>
      </c>
      <c r="B202" t="s">
        <v>28</v>
      </c>
      <c r="C202" t="str">
        <f>VLOOKUP(D202,name,2,FALSE)</f>
        <v>研究发展费用</v>
      </c>
      <c r="D202">
        <v>5701</v>
      </c>
      <c r="E202">
        <v>-1</v>
      </c>
      <c r="I202" s="1">
        <v>560121</v>
      </c>
      <c r="J202" s="1" t="s">
        <v>258</v>
      </c>
    </row>
    <row r="203" spans="1:10">
      <c r="A203" t="str">
        <f>VLOOKUP(LEFT(B203,4),name,2,FALSE)</f>
        <v>税后损益</v>
      </c>
      <c r="B203" t="s">
        <v>28</v>
      </c>
      <c r="C203" t="str">
        <f>VLOOKUP(D203,name,2,FALSE)</f>
        <v>财务费用</v>
      </c>
      <c r="D203">
        <v>5801</v>
      </c>
      <c r="E203">
        <v>-1</v>
      </c>
      <c r="I203" s="1">
        <v>560122</v>
      </c>
      <c r="J203" s="1" t="s">
        <v>259</v>
      </c>
    </row>
    <row r="204" spans="1:10">
      <c r="A204" t="str">
        <f>VLOOKUP(LEFT(B204,4),name,2,FALSE)</f>
        <v>税后损益</v>
      </c>
      <c r="B204" t="s">
        <v>28</v>
      </c>
      <c r="C204" t="str">
        <f>VLOOKUP(D204,name,2,FALSE)</f>
        <v>管理费用</v>
      </c>
      <c r="D204">
        <v>5601</v>
      </c>
      <c r="E204">
        <v>-1</v>
      </c>
      <c r="I204" s="1">
        <v>560123</v>
      </c>
      <c r="J204" s="1" t="s">
        <v>260</v>
      </c>
    </row>
    <row r="205" spans="1:10">
      <c r="A205" t="str">
        <f>VLOOKUP(LEFT(B205,4),name,2,FALSE)</f>
        <v>税后损益</v>
      </c>
      <c r="B205" t="s">
        <v>28</v>
      </c>
      <c r="C205" t="str">
        <f>VLOOKUP(D205,name,2,FALSE)</f>
        <v>营业外支出</v>
      </c>
      <c r="D205">
        <v>7201</v>
      </c>
      <c r="E205">
        <v>-1</v>
      </c>
      <c r="I205" s="1">
        <v>560124</v>
      </c>
      <c r="J205" s="1" t="s">
        <v>261</v>
      </c>
    </row>
    <row r="206" spans="1:10">
      <c r="A206" t="str">
        <f>VLOOKUP(LEFT(B206,4),name,2,FALSE)</f>
        <v>税后损益</v>
      </c>
      <c r="B206" t="s">
        <v>28</v>
      </c>
      <c r="C206" t="str">
        <f>VLOOKUP(D206,name,2,FALSE)</f>
        <v>所得税费用</v>
      </c>
      <c r="D206">
        <v>8101</v>
      </c>
      <c r="E206">
        <v>-1</v>
      </c>
      <c r="I206" s="1">
        <v>56012401</v>
      </c>
      <c r="J206" s="1" t="s">
        <v>262</v>
      </c>
    </row>
    <row r="207" spans="1:10">
      <c r="A207" t="str">
        <f>VLOOKUP(LEFT(B207,4),name,2,FALSE)</f>
        <v>税后损益率</v>
      </c>
      <c r="B207" t="s">
        <v>29</v>
      </c>
      <c r="C207" t="str">
        <f>VLOOKUP(D207,name,2,FALSE)</f>
        <v>销货收入</v>
      </c>
      <c r="D207">
        <v>5101</v>
      </c>
      <c r="E207">
        <v>0.36</v>
      </c>
      <c r="I207" s="1">
        <v>56012402</v>
      </c>
      <c r="J207" s="1" t="s">
        <v>263</v>
      </c>
    </row>
    <row r="208" spans="1:10">
      <c r="A208" t="str">
        <f>VLOOKUP(LEFT(B208,4),name,2,FALSE)</f>
        <v>税后损益率</v>
      </c>
      <c r="B208" t="s">
        <v>29</v>
      </c>
      <c r="C208" t="str">
        <f>VLOOKUP(D208,name,2,FALSE)</f>
        <v>销货退回</v>
      </c>
      <c r="D208">
        <v>5111</v>
      </c>
      <c r="E208">
        <v>0.36</v>
      </c>
      <c r="I208" s="1">
        <v>56012403</v>
      </c>
      <c r="J208" s="1" t="s">
        <v>264</v>
      </c>
    </row>
    <row r="209" spans="1:10">
      <c r="A209" t="str">
        <f>VLOOKUP(LEFT(B209,4),name,2,FALSE)</f>
        <v>税后损益率</v>
      </c>
      <c r="B209" t="s">
        <v>29</v>
      </c>
      <c r="C209" t="str">
        <f>VLOOKUP(D209,name,2,FALSE)</f>
        <v>销货折让</v>
      </c>
      <c r="D209">
        <v>5121</v>
      </c>
      <c r="E209">
        <v>0.36</v>
      </c>
      <c r="I209" s="1">
        <v>56012404</v>
      </c>
      <c r="J209" s="1" t="s">
        <v>265</v>
      </c>
    </row>
    <row r="210" spans="1:10">
      <c r="A210" t="str">
        <f>VLOOKUP(LEFT(B210,4),name,2,FALSE)</f>
        <v>税后损益率</v>
      </c>
      <c r="B210" t="s">
        <v>29</v>
      </c>
      <c r="C210" t="str">
        <f>VLOOKUP(D210,name,2,FALSE)</f>
        <v>销货成本</v>
      </c>
      <c r="D210">
        <v>4101</v>
      </c>
      <c r="E210">
        <v>-0.36</v>
      </c>
      <c r="I210" s="1">
        <v>56012405</v>
      </c>
      <c r="J210" s="1" t="s">
        <v>266</v>
      </c>
    </row>
    <row r="211" spans="1:10">
      <c r="A211" t="str">
        <f>VLOOKUP(LEFT(B211,4),name,2,FALSE)</f>
        <v>税后损益率</v>
      </c>
      <c r="B211" t="s">
        <v>29</v>
      </c>
      <c r="C211" t="str">
        <f>VLOOKUP(D211,name,2,FALSE)</f>
        <v>销货成本退回</v>
      </c>
      <c r="D211">
        <v>4111</v>
      </c>
      <c r="E211">
        <v>-0.36</v>
      </c>
      <c r="I211" s="1">
        <v>56012408</v>
      </c>
      <c r="J211" s="1" t="s">
        <v>267</v>
      </c>
    </row>
    <row r="212" spans="1:10">
      <c r="A212" t="str">
        <f>VLOOKUP(LEFT(B212,4),name,2,FALSE)</f>
        <v>税后损益率</v>
      </c>
      <c r="B212" t="s">
        <v>29</v>
      </c>
      <c r="C212" t="str">
        <f>VLOOKUP(D212,name,2,FALSE)</f>
        <v>销货成本-工厂成本与业务成本差额-业务协议价差额</v>
      </c>
      <c r="D212">
        <v>41019901</v>
      </c>
      <c r="E212">
        <v>-0.36</v>
      </c>
      <c r="I212" s="1">
        <v>560125</v>
      </c>
      <c r="J212" s="1" t="s">
        <v>268</v>
      </c>
    </row>
    <row r="213" spans="1:10">
      <c r="A213" t="str">
        <f>VLOOKUP(LEFT(B213,4),name,2,FALSE)</f>
        <v>税后损益率</v>
      </c>
      <c r="B213" t="s">
        <v>30</v>
      </c>
      <c r="C213" t="str">
        <f>VLOOKUP(D213,name,2,FALSE)</f>
        <v>其他业务收入</v>
      </c>
      <c r="D213">
        <v>5102</v>
      </c>
      <c r="E213">
        <v>1</v>
      </c>
      <c r="I213" s="1">
        <v>56012501</v>
      </c>
      <c r="J213" s="1" t="s">
        <v>269</v>
      </c>
    </row>
    <row r="214" spans="1:10">
      <c r="A214" t="str">
        <f>VLOOKUP(LEFT(B214,4),name,2,FALSE)</f>
        <v>税后损益率</v>
      </c>
      <c r="B214" t="s">
        <v>30</v>
      </c>
      <c r="C214" t="str">
        <f>VLOOKUP(D214,name,2,FALSE)</f>
        <v>行政毛利分配(GMLB)</v>
      </c>
      <c r="D214">
        <v>89990902</v>
      </c>
      <c r="E214">
        <v>1</v>
      </c>
      <c r="I214" s="1">
        <v>56012509</v>
      </c>
      <c r="J214" s="1" t="s">
        <v>270</v>
      </c>
    </row>
    <row r="215" spans="1:10">
      <c r="A215" t="str">
        <f>VLOOKUP(LEFT(B215,4),name,2,FALSE)</f>
        <v>税后损益率</v>
      </c>
      <c r="B215" t="s">
        <v>30</v>
      </c>
      <c r="C215" t="str">
        <f>VLOOKUP(D215,name,2,FALSE)</f>
        <v>研发毛利分配(RD)</v>
      </c>
      <c r="D215">
        <v>89990903</v>
      </c>
      <c r="E215">
        <v>1</v>
      </c>
      <c r="I215" s="1">
        <v>560126</v>
      </c>
      <c r="J215" s="1" t="s">
        <v>271</v>
      </c>
    </row>
    <row r="216" spans="1:10">
      <c r="A216" t="str">
        <f>VLOOKUP(LEFT(B216,4),name,2,FALSE)</f>
        <v>税后损益率</v>
      </c>
      <c r="B216" t="s">
        <v>30</v>
      </c>
      <c r="C216" t="str">
        <f>VLOOKUP(D216,name,2,FALSE)</f>
        <v>业务行政组毛利分配(YZ01)</v>
      </c>
      <c r="D216">
        <v>89990904</v>
      </c>
      <c r="E216">
        <v>1</v>
      </c>
      <c r="I216" s="1">
        <v>56012601</v>
      </c>
      <c r="J216" s="1" t="s">
        <v>272</v>
      </c>
    </row>
    <row r="217" spans="1:10">
      <c r="A217" t="str">
        <f>VLOOKUP(LEFT(B217,4),name,2,FALSE)</f>
        <v>税后损益率</v>
      </c>
      <c r="B217" t="s">
        <v>30</v>
      </c>
      <c r="C217" t="str">
        <f>VLOOKUP(D217,name,2,FALSE)</f>
        <v>销货成本-工厂成本与业务成本差额-幕僚管理费收入</v>
      </c>
      <c r="D217">
        <v>41019902</v>
      </c>
      <c r="E217">
        <v>1</v>
      </c>
      <c r="I217" s="1">
        <v>56012602</v>
      </c>
      <c r="J217" s="1" t="s">
        <v>273</v>
      </c>
    </row>
    <row r="218" spans="1:10">
      <c r="A218" t="str">
        <f>VLOOKUP(LEFT(B218,4),name,2,FALSE)</f>
        <v>税后损益率</v>
      </c>
      <c r="B218" t="s">
        <v>30</v>
      </c>
      <c r="C218" t="str">
        <f>VLOOKUP(D218,name,2,FALSE)</f>
        <v>销货成本-工厂成本与业务成本差额-GMLA品牌费收入</v>
      </c>
      <c r="D218">
        <v>41019903</v>
      </c>
      <c r="E218">
        <v>1</v>
      </c>
      <c r="I218" s="1">
        <v>560127</v>
      </c>
      <c r="J218" s="1" t="s">
        <v>274</v>
      </c>
    </row>
    <row r="219" spans="1:10">
      <c r="A219" t="str">
        <f>VLOOKUP(LEFT(B219,4),name,2,FALSE)</f>
        <v>税后损益率</v>
      </c>
      <c r="B219" t="s">
        <v>30</v>
      </c>
      <c r="C219" t="str">
        <f>VLOOKUP(D219,name,2,FALSE)</f>
        <v>销货成本-工厂成本与业务成本差额-生产库存差数</v>
      </c>
      <c r="D219">
        <v>41019904</v>
      </c>
      <c r="E219">
        <v>1</v>
      </c>
      <c r="I219" s="1">
        <v>560128</v>
      </c>
      <c r="J219" s="1" t="s">
        <v>275</v>
      </c>
    </row>
    <row r="220" spans="1:10">
      <c r="A220" t="str">
        <f>VLOOKUP(LEFT(B220,4),name,2,FALSE)</f>
        <v>税后损益率</v>
      </c>
      <c r="B220" t="s">
        <v>30</v>
      </c>
      <c r="C220" t="str">
        <f>VLOOKUP(D220,name,2,FALSE)</f>
        <v>销货成本-工厂成本与业务成本差额-调整</v>
      </c>
      <c r="D220">
        <v>41019905</v>
      </c>
      <c r="E220">
        <v>1</v>
      </c>
      <c r="I220" s="1">
        <v>560129</v>
      </c>
      <c r="J220" s="1" t="s">
        <v>276</v>
      </c>
    </row>
    <row r="221" spans="1:10">
      <c r="A221" t="str">
        <f>VLOOKUP(LEFT(B221,4),name,2,FALSE)</f>
        <v>税后损益率</v>
      </c>
      <c r="B221" t="s">
        <v>30</v>
      </c>
      <c r="C221" t="str">
        <f>VLOOKUP(D221,name,2,FALSE)</f>
        <v>营业外收入</v>
      </c>
      <c r="D221">
        <v>7101</v>
      </c>
      <c r="E221">
        <v>1</v>
      </c>
      <c r="I221" s="1">
        <v>560130</v>
      </c>
      <c r="J221" s="1" t="s">
        <v>277</v>
      </c>
    </row>
    <row r="222" spans="1:10">
      <c r="A222" t="str">
        <f>VLOOKUP(LEFT(B222,4),name,2,FALSE)</f>
        <v>税后损益率</v>
      </c>
      <c r="B222" t="s">
        <v>30</v>
      </c>
      <c r="C222" t="str">
        <f>VLOOKUP(D222,name,2,FALSE)</f>
        <v>投资损益</v>
      </c>
      <c r="D222">
        <v>7301</v>
      </c>
      <c r="E222">
        <v>1</v>
      </c>
      <c r="I222" s="1" t="s">
        <v>278</v>
      </c>
      <c r="J222" s="1" t="s">
        <v>277</v>
      </c>
    </row>
    <row r="223" spans="1:10">
      <c r="A223" t="str">
        <f>VLOOKUP(LEFT(B223,4),name,2,FALSE)</f>
        <v>税后损益率</v>
      </c>
      <c r="B223" t="s">
        <v>30</v>
      </c>
      <c r="C223" t="str">
        <f>VLOOKUP(D223,name,2,FALSE)</f>
        <v>以前年度损益调整</v>
      </c>
      <c r="D223">
        <v>7901</v>
      </c>
      <c r="E223">
        <v>1</v>
      </c>
      <c r="I223" s="1">
        <v>56013001</v>
      </c>
      <c r="J223" s="1" t="s">
        <v>279</v>
      </c>
    </row>
    <row r="224" spans="1:10">
      <c r="A224" t="str">
        <f>VLOOKUP(LEFT(B224,4),name,2,FALSE)</f>
        <v>税后损益率</v>
      </c>
      <c r="B224" t="s">
        <v>30</v>
      </c>
      <c r="C224" t="str">
        <f>VLOOKUP(D224,name,2,FALSE)</f>
        <v>其他业务成本</v>
      </c>
      <c r="D224">
        <v>4102</v>
      </c>
      <c r="E224">
        <v>-1</v>
      </c>
      <c r="I224" s="1">
        <v>56013002</v>
      </c>
      <c r="J224" s="1" t="s">
        <v>280</v>
      </c>
    </row>
    <row r="225" spans="1:10">
      <c r="A225" t="str">
        <f>VLOOKUP(LEFT(B225,4),name,2,FALSE)</f>
        <v>税后损益率</v>
      </c>
      <c r="B225" t="s">
        <v>30</v>
      </c>
      <c r="C225" t="str">
        <f>VLOOKUP(D225,name,2,FALSE)</f>
        <v>主营业务税金及附加</v>
      </c>
      <c r="D225">
        <v>4112</v>
      </c>
      <c r="E225">
        <v>-1</v>
      </c>
      <c r="I225" s="1">
        <v>56013003</v>
      </c>
      <c r="J225" s="1" t="s">
        <v>281</v>
      </c>
    </row>
    <row r="226" spans="1:10">
      <c r="A226" t="str">
        <f>VLOOKUP(LEFT(B226,4),name,2,FALSE)</f>
        <v>税后损益率</v>
      </c>
      <c r="B226" t="s">
        <v>30</v>
      </c>
      <c r="C226" t="str">
        <f>VLOOKUP(D226,name,2,FALSE)</f>
        <v>不予免抵退税额及进项税转出</v>
      </c>
      <c r="D226">
        <v>4113</v>
      </c>
      <c r="E226">
        <v>-1</v>
      </c>
      <c r="I226" s="1" t="s">
        <v>282</v>
      </c>
      <c r="J226" s="1" t="s">
        <v>279</v>
      </c>
    </row>
    <row r="227" spans="1:10">
      <c r="A227" t="str">
        <f>VLOOKUP(LEFT(B227,4),name,2,FALSE)</f>
        <v>税后损益率</v>
      </c>
      <c r="B227" t="s">
        <v>30</v>
      </c>
      <c r="C227" t="str">
        <f>VLOOKUP(D227,name,2,FALSE)</f>
        <v>营业费用</v>
      </c>
      <c r="D227">
        <v>5501</v>
      </c>
      <c r="E227">
        <v>-1</v>
      </c>
      <c r="I227" s="1" t="s">
        <v>283</v>
      </c>
      <c r="J227" s="1" t="s">
        <v>280</v>
      </c>
    </row>
    <row r="228" spans="1:10">
      <c r="A228" t="str">
        <f>VLOOKUP(LEFT(B228,4),name,2,FALSE)</f>
        <v>税后损益率</v>
      </c>
      <c r="B228" t="s">
        <v>30</v>
      </c>
      <c r="C228" t="str">
        <f>VLOOKUP(D228,name,2,FALSE)</f>
        <v>研究发展费用</v>
      </c>
      <c r="D228">
        <v>5701</v>
      </c>
      <c r="E228">
        <v>-1</v>
      </c>
      <c r="I228" s="1" t="s">
        <v>284</v>
      </c>
      <c r="J228" s="1" t="s">
        <v>281</v>
      </c>
    </row>
    <row r="229" spans="1:10">
      <c r="A229" t="str">
        <f>VLOOKUP(LEFT(B229,4),name,2,FALSE)</f>
        <v>税后损益率</v>
      </c>
      <c r="B229" t="s">
        <v>30</v>
      </c>
      <c r="C229" t="str">
        <f>VLOOKUP(D229,name,2,FALSE)</f>
        <v>财务费用</v>
      </c>
      <c r="D229">
        <v>5801</v>
      </c>
      <c r="E229">
        <v>-1</v>
      </c>
      <c r="I229" s="1">
        <v>560131</v>
      </c>
      <c r="J229" s="1" t="s">
        <v>285</v>
      </c>
    </row>
    <row r="230" spans="1:10">
      <c r="A230" t="str">
        <f>VLOOKUP(LEFT(B230,4),name,2,FALSE)</f>
        <v>税后损益率</v>
      </c>
      <c r="B230" t="s">
        <v>30</v>
      </c>
      <c r="C230" t="str">
        <f>VLOOKUP(D230,name,2,FALSE)</f>
        <v>管理费用</v>
      </c>
      <c r="D230">
        <v>5601</v>
      </c>
      <c r="E230">
        <v>-1</v>
      </c>
      <c r="I230" s="1">
        <v>560132</v>
      </c>
      <c r="J230" s="1" t="s">
        <v>286</v>
      </c>
    </row>
    <row r="231" spans="1:10">
      <c r="A231" t="str">
        <f>VLOOKUP(LEFT(B231,4),name,2,FALSE)</f>
        <v>税后损益率</v>
      </c>
      <c r="B231" t="s">
        <v>30</v>
      </c>
      <c r="C231" t="str">
        <f>VLOOKUP(D231,name,2,FALSE)</f>
        <v>营业外支出</v>
      </c>
      <c r="D231">
        <v>7201</v>
      </c>
      <c r="E231">
        <v>-1</v>
      </c>
      <c r="I231" s="1">
        <v>560133</v>
      </c>
      <c r="J231" s="1" t="s">
        <v>287</v>
      </c>
    </row>
    <row r="232" spans="1:10">
      <c r="A232" t="str">
        <f>VLOOKUP(LEFT(B232,4),name,2,FALSE)</f>
        <v>税后损益率</v>
      </c>
      <c r="B232" t="s">
        <v>30</v>
      </c>
      <c r="C232" t="str">
        <f>VLOOKUP(D232,name,2,FALSE)</f>
        <v>所得税费用</v>
      </c>
      <c r="D232">
        <v>8101</v>
      </c>
      <c r="E232">
        <v>-1</v>
      </c>
      <c r="I232" s="1">
        <v>560134</v>
      </c>
      <c r="J232" s="1" t="s">
        <v>288</v>
      </c>
    </row>
    <row r="233" spans="1:10">
      <c r="A233" t="str">
        <f>VLOOKUP(LEFT(B233,4),name,2,FALSE)</f>
        <v>税后损益率</v>
      </c>
      <c r="B233" t="s">
        <v>31</v>
      </c>
      <c r="C233" t="str">
        <f>VLOOKUP(D233,name,2,FALSE)</f>
        <v>销货收入</v>
      </c>
      <c r="D233">
        <v>5101</v>
      </c>
      <c r="E233">
        <v>1</v>
      </c>
      <c r="I233" s="1">
        <v>560188</v>
      </c>
      <c r="J233" s="1" t="s">
        <v>289</v>
      </c>
    </row>
    <row r="234" spans="1:10">
      <c r="A234" t="str">
        <f>VLOOKUP(LEFT(B234,4),name,2,FALSE)</f>
        <v>税后损益率</v>
      </c>
      <c r="B234" t="s">
        <v>31</v>
      </c>
      <c r="C234" t="str">
        <f>VLOOKUP(D234,name,2,FALSE)</f>
        <v>销货退回</v>
      </c>
      <c r="D234">
        <v>5111</v>
      </c>
      <c r="E234">
        <v>1</v>
      </c>
      <c r="I234" s="1">
        <v>560199</v>
      </c>
      <c r="J234" s="1" t="s">
        <v>290</v>
      </c>
    </row>
    <row r="235" spans="1:10">
      <c r="A235" t="str">
        <f>VLOOKUP(LEFT(B235,4),name,2,FALSE)</f>
        <v>税后损益率</v>
      </c>
      <c r="B235" t="s">
        <v>31</v>
      </c>
      <c r="C235" t="str">
        <f>VLOOKUP(D235,name,2,FALSE)</f>
        <v>销货折让</v>
      </c>
      <c r="D235">
        <v>5121</v>
      </c>
      <c r="E235">
        <v>1</v>
      </c>
      <c r="I235" s="1">
        <v>56019901</v>
      </c>
      <c r="J235" s="1" t="s">
        <v>291</v>
      </c>
    </row>
    <row r="236" spans="1:10">
      <c r="A236" t="str">
        <f>VLOOKUP(LEFT(B236,4),name,2,FALSE)</f>
        <v>标准稼动-直接人工收入(80%)</v>
      </c>
      <c r="B236" t="s">
        <v>32</v>
      </c>
      <c r="C236" t="str">
        <f>VLOOKUP(D236,name,2,FALSE)</f>
        <v>标准稼动-人工收入</v>
      </c>
      <c r="D236">
        <v>89990101</v>
      </c>
      <c r="E236">
        <v>0.8</v>
      </c>
      <c r="I236" s="1">
        <v>56019902</v>
      </c>
      <c r="J236" s="1" t="s">
        <v>292</v>
      </c>
    </row>
    <row r="237" spans="1:10">
      <c r="A237" t="str">
        <f>VLOOKUP(LEFT(B237,4),name,2,FALSE)</f>
        <v>实际扫描-人工收入</v>
      </c>
      <c r="B237" t="s">
        <v>33</v>
      </c>
      <c r="C237" t="str">
        <f>VLOOKUP(D237,name,2,FALSE)</f>
        <v>制造费用-标准-直接人工</v>
      </c>
      <c r="D237">
        <v>45000102</v>
      </c>
      <c r="E237">
        <v>1</v>
      </c>
      <c r="I237" s="1">
        <v>56019903</v>
      </c>
      <c r="J237" s="1" t="s">
        <v>293</v>
      </c>
    </row>
    <row r="238" spans="1:10">
      <c r="A238" t="str">
        <f>VLOOKUP(LEFT(B238,4),name,2,FALSE)</f>
        <v>实际扫描-人工收入</v>
      </c>
      <c r="B238" t="s">
        <v>33</v>
      </c>
      <c r="C238" t="str">
        <f>VLOOKUP(D238,name,2,FALSE)</f>
        <v>制造费用-WIP-直接人工</v>
      </c>
      <c r="D238">
        <v>45000202</v>
      </c>
      <c r="E238">
        <v>1</v>
      </c>
      <c r="I238" s="1">
        <v>56019904</v>
      </c>
      <c r="J238" s="1" t="s">
        <v>294</v>
      </c>
    </row>
    <row r="239" spans="1:10">
      <c r="A239" t="str">
        <f>VLOOKUP(LEFT(B239,4),name,2,FALSE)</f>
        <v>实际扫描-直接人工收入(80%)</v>
      </c>
      <c r="B239" t="s">
        <v>34</v>
      </c>
      <c r="C239" t="str">
        <f>VLOOKUP(D239,name,2,FALSE)</f>
        <v>制造费用-标准-直接人工</v>
      </c>
      <c r="D239">
        <v>45000102</v>
      </c>
      <c r="E239">
        <v>0.8</v>
      </c>
      <c r="I239" s="1">
        <v>56019905</v>
      </c>
      <c r="J239" s="1" t="s">
        <v>295</v>
      </c>
    </row>
    <row r="240" spans="1:10">
      <c r="A240" t="str">
        <f>VLOOKUP(LEFT(B240,4),name,2,FALSE)</f>
        <v>实际扫描-直接人工收入(80%)</v>
      </c>
      <c r="B240" t="s">
        <v>34</v>
      </c>
      <c r="C240" t="str">
        <f>VLOOKUP(D240,name,2,FALSE)</f>
        <v>制造费用-WIP-直接人工</v>
      </c>
      <c r="D240">
        <v>45000202</v>
      </c>
      <c r="E240">
        <v>0.8</v>
      </c>
      <c r="I240" s="1">
        <v>56019906</v>
      </c>
      <c r="J240" s="1" t="s">
        <v>296</v>
      </c>
    </row>
    <row r="241" spans="1:10">
      <c r="A241" t="str">
        <f>VLOOKUP(LEFT(B241,4),name,2,FALSE)</f>
        <v>扫描-人工稼动率</v>
      </c>
      <c r="B241" t="s">
        <v>35</v>
      </c>
      <c r="C241" t="str">
        <f>VLOOKUP(D241,name,2,FALSE)</f>
        <v>制造费用-标准-直接人工</v>
      </c>
      <c r="D241">
        <v>45000102</v>
      </c>
      <c r="E241">
        <v>1</v>
      </c>
      <c r="I241" s="1">
        <v>56019907</v>
      </c>
      <c r="J241" s="1" t="s">
        <v>297</v>
      </c>
    </row>
    <row r="242" spans="1:10">
      <c r="A242" t="str">
        <f>VLOOKUP(LEFT(B242,4),name,2,FALSE)</f>
        <v>扫描-人工稼动率</v>
      </c>
      <c r="B242" t="s">
        <v>35</v>
      </c>
      <c r="C242" t="str">
        <f>VLOOKUP(D242,name,2,FALSE)</f>
        <v>制造费用-WIP-直接人工</v>
      </c>
      <c r="D242">
        <v>45000202</v>
      </c>
      <c r="E242">
        <v>1</v>
      </c>
      <c r="I242" s="1">
        <v>56019909</v>
      </c>
      <c r="J242" s="1" t="s">
        <v>298</v>
      </c>
    </row>
    <row r="243" spans="1:10">
      <c r="A243" t="str">
        <f>VLOOKUP(LEFT(B243,4),name,2,FALSE)</f>
        <v>扫描-人工稼动率</v>
      </c>
      <c r="B243" t="s">
        <v>36</v>
      </c>
      <c r="C243" t="str">
        <f>VLOOKUP(D243,name,2,FALSE)</f>
        <v>标准稼动-人工收入</v>
      </c>
      <c r="D243">
        <v>89990101</v>
      </c>
      <c r="E243">
        <v>1</v>
      </c>
      <c r="I243" s="1">
        <v>56019911</v>
      </c>
      <c r="J243" s="1" t="s">
        <v>299</v>
      </c>
    </row>
    <row r="244" spans="1:10">
      <c r="A244" t="str">
        <f>VLOOKUP(LEFT(B244,4),name,2,FALSE)</f>
        <v>制造费用-薪资支出-直接人工</v>
      </c>
      <c r="B244" t="s">
        <v>37</v>
      </c>
      <c r="C244" t="str">
        <f>VLOOKUP(D244,name,2,FALSE)</f>
        <v>制造费用-薪资支出-直接技师-基本薪资</v>
      </c>
      <c r="D244">
        <v>45010111</v>
      </c>
      <c r="E244">
        <v>1</v>
      </c>
      <c r="I244" s="1">
        <v>56019912</v>
      </c>
      <c r="J244" s="1" t="s">
        <v>300</v>
      </c>
    </row>
    <row r="245" spans="1:10">
      <c r="A245" t="str">
        <f>VLOOKUP(LEFT(B245,4),name,2,FALSE)</f>
        <v>制造费用-薪资支出-直接人工</v>
      </c>
      <c r="B245" t="s">
        <v>37</v>
      </c>
      <c r="C245" t="str">
        <f>VLOOKUP(D245,name,2,FALSE)</f>
        <v>制造费用-薪资支出-直接技师-加班费</v>
      </c>
      <c r="D245">
        <v>45010112</v>
      </c>
      <c r="E245">
        <v>1</v>
      </c>
      <c r="I245" s="1">
        <v>56019913</v>
      </c>
      <c r="J245" s="1" t="s">
        <v>301</v>
      </c>
    </row>
    <row r="246" spans="1:10">
      <c r="A246" t="str">
        <f>VLOOKUP(LEFT(B246,4),name,2,FALSE)</f>
        <v>制造费用-薪资支出-直接人工</v>
      </c>
      <c r="B246" t="s">
        <v>37</v>
      </c>
      <c r="C246" t="str">
        <f>VLOOKUP(D246,name,2,FALSE)</f>
        <v>制造费用-薪资支出-直接技师-奖金</v>
      </c>
      <c r="D246">
        <v>45010113</v>
      </c>
      <c r="E246">
        <v>1</v>
      </c>
      <c r="I246" s="1">
        <v>56019914</v>
      </c>
      <c r="J246" s="1" t="s">
        <v>302</v>
      </c>
    </row>
    <row r="247" spans="1:10">
      <c r="A247" t="str">
        <f>VLOOKUP(LEFT(B247,4),name,2,FALSE)</f>
        <v>制造费用-薪资支出-直接人工</v>
      </c>
      <c r="B247" t="s">
        <v>37</v>
      </c>
      <c r="C247" t="str">
        <f>VLOOKUP(D247,name,2,FALSE)</f>
        <v>制造费用-薪资支出-直接作业员-基本薪资</v>
      </c>
      <c r="D247">
        <v>45010114</v>
      </c>
      <c r="E247">
        <v>1</v>
      </c>
      <c r="I247" s="1">
        <v>56019915</v>
      </c>
      <c r="J247" s="1" t="s">
        <v>303</v>
      </c>
    </row>
    <row r="248" spans="1:10">
      <c r="A248" t="str">
        <f>VLOOKUP(LEFT(B248,4),name,2,FALSE)</f>
        <v>制造费用-薪资支出-直接人工</v>
      </c>
      <c r="B248" t="s">
        <v>37</v>
      </c>
      <c r="C248" t="str">
        <f>VLOOKUP(D248,name,2,FALSE)</f>
        <v>制造费用-薪资支出-直接作业员-加班费</v>
      </c>
      <c r="D248">
        <v>45010115</v>
      </c>
      <c r="E248">
        <v>1</v>
      </c>
      <c r="I248" s="1">
        <v>56019924</v>
      </c>
      <c r="J248" s="1" t="s">
        <v>304</v>
      </c>
    </row>
    <row r="249" spans="1:10">
      <c r="A249" t="str">
        <f>VLOOKUP(LEFT(B249,4),name,2,FALSE)</f>
        <v>制造费用-薪资支出-直接人工</v>
      </c>
      <c r="B249" t="s">
        <v>37</v>
      </c>
      <c r="C249" t="str">
        <f>VLOOKUP(D249,name,2,FALSE)</f>
        <v>制造费用-薪资支出-直接作业员-奖金</v>
      </c>
      <c r="D249">
        <v>45010116</v>
      </c>
      <c r="E249">
        <v>1</v>
      </c>
      <c r="I249" s="1">
        <v>56019925</v>
      </c>
      <c r="J249" s="1" t="s">
        <v>305</v>
      </c>
    </row>
    <row r="250" spans="1:10">
      <c r="A250" t="str">
        <f>VLOOKUP(LEFT(B250,4),name,2,FALSE)</f>
        <v>制造费用-薪资支出-直接人工</v>
      </c>
      <c r="B250" t="s">
        <v>37</v>
      </c>
      <c r="C250" t="str">
        <f>VLOOKUP(D250,name,2,FALSE)</f>
        <v>制造费用-薪资支出-直接作业员-劳务派遣</v>
      </c>
      <c r="D250">
        <v>45010117</v>
      </c>
      <c r="E250">
        <v>1</v>
      </c>
      <c r="I250" s="1">
        <v>56019928</v>
      </c>
      <c r="J250" s="1" t="s">
        <v>306</v>
      </c>
    </row>
    <row r="251" spans="1:10">
      <c r="A251" t="str">
        <f>VLOOKUP(LEFT(B251,4),name,2,FALSE)</f>
        <v>制造费用-薪资支出-间接人工</v>
      </c>
      <c r="B251" t="s">
        <v>38</v>
      </c>
      <c r="C251" t="str">
        <f>VLOOKUP(D251,name,2,FALSE)</f>
        <v>制造费用-薪资支出-间接专业-基本薪资</v>
      </c>
      <c r="D251">
        <v>45010101</v>
      </c>
      <c r="E251">
        <v>1</v>
      </c>
      <c r="I251" s="1">
        <v>56019929</v>
      </c>
      <c r="J251" s="1" t="s">
        <v>307</v>
      </c>
    </row>
    <row r="252" spans="1:10">
      <c r="A252" t="str">
        <f>VLOOKUP(LEFT(B252,4),name,2,FALSE)</f>
        <v>制造费用-薪资支出-间接人工</v>
      </c>
      <c r="B252" t="s">
        <v>38</v>
      </c>
      <c r="C252" t="str">
        <f>VLOOKUP(D252,name,2,FALSE)</f>
        <v>制造费用-薪资支出-间接专业-加班费</v>
      </c>
      <c r="D252">
        <v>45010102</v>
      </c>
      <c r="E252">
        <v>1</v>
      </c>
      <c r="I252" s="1">
        <v>56019930</v>
      </c>
      <c r="J252" s="1" t="s">
        <v>308</v>
      </c>
    </row>
    <row r="253" spans="1:10">
      <c r="A253" t="str">
        <f>VLOOKUP(LEFT(B253,4),name,2,FALSE)</f>
        <v>制造费用-薪资支出-间接人工</v>
      </c>
      <c r="B253" t="s">
        <v>38</v>
      </c>
      <c r="C253" t="str">
        <f>VLOOKUP(D253,name,2,FALSE)</f>
        <v>制造费用-薪资支出-间接专业-奖金</v>
      </c>
      <c r="D253">
        <v>45010103</v>
      </c>
      <c r="E253">
        <v>1</v>
      </c>
      <c r="I253" s="1">
        <v>56019931</v>
      </c>
      <c r="J253" s="1" t="s">
        <v>309</v>
      </c>
    </row>
    <row r="254" spans="1:10">
      <c r="A254" t="str">
        <f>VLOOKUP(LEFT(B254,4),name,2,FALSE)</f>
        <v>制造费用-薪资支出-间接人工</v>
      </c>
      <c r="B254" t="s">
        <v>38</v>
      </c>
      <c r="C254" t="str">
        <f>VLOOKUP(D254,name,2,FALSE)</f>
        <v>制造费用-薪资支出-间接一般-基本薪资</v>
      </c>
      <c r="D254">
        <v>45010104</v>
      </c>
      <c r="E254">
        <v>1</v>
      </c>
      <c r="I254" s="1">
        <v>56019932</v>
      </c>
      <c r="J254" s="1" t="s">
        <v>310</v>
      </c>
    </row>
    <row r="255" spans="1:10">
      <c r="A255" t="str">
        <f>VLOOKUP(LEFT(B255,4),name,2,FALSE)</f>
        <v>制造费用-薪资支出-间接人工</v>
      </c>
      <c r="B255" t="s">
        <v>38</v>
      </c>
      <c r="C255" t="str">
        <f>VLOOKUP(D255,name,2,FALSE)</f>
        <v>制造费用-薪资支出-间接一般-加班费</v>
      </c>
      <c r="D255">
        <v>45010105</v>
      </c>
      <c r="E255">
        <v>1</v>
      </c>
      <c r="I255" s="1">
        <v>56019933</v>
      </c>
      <c r="J255" s="1" t="s">
        <v>311</v>
      </c>
    </row>
    <row r="256" spans="1:10">
      <c r="A256" t="str">
        <f>VLOOKUP(LEFT(B256,4),name,2,FALSE)</f>
        <v>制造费用-薪资支出-间接人工</v>
      </c>
      <c r="B256" t="s">
        <v>38</v>
      </c>
      <c r="C256" t="str">
        <f>VLOOKUP(D256,name,2,FALSE)</f>
        <v>制造费用-薪资支出-间接一般-奖金</v>
      </c>
      <c r="D256">
        <v>45010106</v>
      </c>
      <c r="E256">
        <v>1</v>
      </c>
      <c r="I256" s="1">
        <v>56019934</v>
      </c>
      <c r="J256" s="1" t="s">
        <v>312</v>
      </c>
    </row>
    <row r="257" spans="1:10">
      <c r="A257" t="str">
        <f>VLOOKUP(LEFT(B257,4),name,2,FALSE)</f>
        <v>人工损益</v>
      </c>
      <c r="B257" t="s">
        <v>39</v>
      </c>
      <c r="C257" t="str">
        <f>VLOOKUP(D257,name,2,FALSE)</f>
        <v>制造费用-标准-直接人工</v>
      </c>
      <c r="D257">
        <v>45000102</v>
      </c>
      <c r="E257">
        <v>0.8</v>
      </c>
      <c r="I257" s="1">
        <v>56019935</v>
      </c>
      <c r="J257" s="1" t="s">
        <v>313</v>
      </c>
    </row>
    <row r="258" spans="1:10">
      <c r="A258" t="str">
        <f>VLOOKUP(LEFT(B258,4),name,2,FALSE)</f>
        <v>人工损益</v>
      </c>
      <c r="B258" t="s">
        <v>39</v>
      </c>
      <c r="C258" t="str">
        <f>VLOOKUP(D258,name,2,FALSE)</f>
        <v>制造费用-WIP-直接人工</v>
      </c>
      <c r="D258">
        <v>45000202</v>
      </c>
      <c r="E258">
        <v>0.8</v>
      </c>
      <c r="I258" s="1">
        <v>56019981</v>
      </c>
      <c r="J258" s="1" t="s">
        <v>314</v>
      </c>
    </row>
    <row r="259" spans="1:10">
      <c r="A259" t="str">
        <f>VLOOKUP(LEFT(B259,4),name,2,FALSE)</f>
        <v>人工损益</v>
      </c>
      <c r="B259" t="s">
        <v>39</v>
      </c>
      <c r="C259" t="str">
        <f>VLOOKUP(D259,name,2,FALSE)</f>
        <v>实际扫描-间接人工收入</v>
      </c>
      <c r="D259">
        <v>8999011101</v>
      </c>
      <c r="E259">
        <v>1</v>
      </c>
      <c r="I259" s="1">
        <v>56019982</v>
      </c>
      <c r="J259" s="1" t="s">
        <v>315</v>
      </c>
    </row>
    <row r="260" spans="1:10">
      <c r="A260" t="str">
        <f>VLOOKUP(LEFT(B260,4),name,2,FALSE)</f>
        <v>人工损益</v>
      </c>
      <c r="B260" t="s">
        <v>39</v>
      </c>
      <c r="C260" t="str">
        <f>VLOOKUP(D260,name,2,FALSE)</f>
        <v>制造费用-薪资支出</v>
      </c>
      <c r="D260">
        <v>450101</v>
      </c>
      <c r="E260">
        <v>-1</v>
      </c>
      <c r="I260" s="1">
        <v>56019983</v>
      </c>
      <c r="J260" s="1" t="s">
        <v>316</v>
      </c>
    </row>
    <row r="261" spans="1:10">
      <c r="A261" t="str">
        <f>VLOOKUP(LEFT(B261,4),name,2,FALSE)</f>
        <v>直接人工-差数</v>
      </c>
      <c r="B261" t="s">
        <v>40</v>
      </c>
      <c r="C261" t="str">
        <f>VLOOKUP(D261,name,2,FALSE)</f>
        <v>制造费用-标准-直接人工</v>
      </c>
      <c r="D261">
        <v>45000102</v>
      </c>
      <c r="E261">
        <v>0.8</v>
      </c>
      <c r="I261" s="1">
        <v>56019984</v>
      </c>
      <c r="J261" s="1" t="s">
        <v>317</v>
      </c>
    </row>
    <row r="262" spans="1:10">
      <c r="A262" t="str">
        <f>VLOOKUP(LEFT(B262,4),name,2,FALSE)</f>
        <v>直接人工-差数</v>
      </c>
      <c r="B262" t="s">
        <v>40</v>
      </c>
      <c r="C262" t="str">
        <f>VLOOKUP(D262,name,2,FALSE)</f>
        <v>制造费用-WIP-直接人工</v>
      </c>
      <c r="D262">
        <v>45000202</v>
      </c>
      <c r="E262">
        <v>0.8</v>
      </c>
      <c r="I262" s="1">
        <v>56019985</v>
      </c>
      <c r="J262" s="1" t="s">
        <v>318</v>
      </c>
    </row>
    <row r="263" spans="1:10">
      <c r="A263" t="str">
        <f>VLOOKUP(LEFT(B263,4),name,2,FALSE)</f>
        <v>直接人工-差数</v>
      </c>
      <c r="B263" t="s">
        <v>40</v>
      </c>
      <c r="C263" t="str">
        <f>VLOOKUP(D263,name,2,FALSE)</f>
        <v>制造费用-直接人工差异-结转</v>
      </c>
      <c r="D263">
        <v>45000301</v>
      </c>
      <c r="E263">
        <v>1</v>
      </c>
      <c r="I263" s="1">
        <v>56019999</v>
      </c>
      <c r="J263" s="1" t="s">
        <v>319</v>
      </c>
    </row>
    <row r="264" spans="1:10">
      <c r="A264" t="str">
        <f>VLOOKUP(LEFT(B264,4),name,2,FALSE)</f>
        <v>直接人工-差数</v>
      </c>
      <c r="B264" t="s">
        <v>40</v>
      </c>
      <c r="C264" t="str">
        <f>VLOOKUP(D264,name,2,FALSE)</f>
        <v>制造费用-薪资支出</v>
      </c>
      <c r="D264">
        <v>450101</v>
      </c>
      <c r="E264">
        <v>1</v>
      </c>
      <c r="I264" s="1" t="s">
        <v>19</v>
      </c>
      <c r="J264" s="1" t="s">
        <v>320</v>
      </c>
    </row>
    <row r="265" spans="1:10">
      <c r="A265" t="str">
        <f>VLOOKUP(LEFT(B265,4),name,2,FALSE)</f>
        <v>直接人工-差数</v>
      </c>
      <c r="B265" t="s">
        <v>40</v>
      </c>
      <c r="C265" t="str">
        <f>VLOOKUP(D265,name,2,FALSE)</f>
        <v>实际扫描-间接人工收入</v>
      </c>
      <c r="D265">
        <v>8999011101</v>
      </c>
      <c r="E265">
        <v>-1</v>
      </c>
      <c r="I265" s="1">
        <v>5701</v>
      </c>
      <c r="J265" s="1" t="s">
        <v>321</v>
      </c>
    </row>
    <row r="266" spans="1:10">
      <c r="A266" t="str">
        <f>VLOOKUP(LEFT(B266,4),name,2,FALSE)</f>
        <v>直接人工损益(80%)</v>
      </c>
      <c r="B266" t="s">
        <v>41</v>
      </c>
      <c r="C266" t="str">
        <f>VLOOKUP(D266,name,2,FALSE)</f>
        <v>制造费用-标准-直接人工</v>
      </c>
      <c r="D266">
        <v>45000102</v>
      </c>
      <c r="E266">
        <v>0.8</v>
      </c>
      <c r="I266" s="1">
        <v>570101</v>
      </c>
      <c r="J266" s="1" t="s">
        <v>322</v>
      </c>
    </row>
    <row r="267" spans="1:10">
      <c r="A267" t="str">
        <f>VLOOKUP(LEFT(B267,4),name,2,FALSE)</f>
        <v>直接人工损益(80%)</v>
      </c>
      <c r="B267" t="s">
        <v>41</v>
      </c>
      <c r="C267" t="str">
        <f>VLOOKUP(D267,name,2,FALSE)</f>
        <v>制造费用-WIP-直接人工</v>
      </c>
      <c r="D267">
        <v>45000202</v>
      </c>
      <c r="E267">
        <v>0.8</v>
      </c>
      <c r="I267" s="1">
        <v>57010101</v>
      </c>
      <c r="J267" s="1" t="s">
        <v>323</v>
      </c>
    </row>
    <row r="268" spans="1:10">
      <c r="A268" t="str">
        <f>VLOOKUP(LEFT(B268,4),name,2,FALSE)</f>
        <v>直接人工损益(80%)</v>
      </c>
      <c r="B268" t="s">
        <v>41</v>
      </c>
      <c r="C268" t="str">
        <f>VLOOKUP(D268,name,2,FALSE)</f>
        <v>制造费用-薪资支出-直接技师-基本薪资</v>
      </c>
      <c r="D268">
        <v>45010111</v>
      </c>
      <c r="E268">
        <v>-1</v>
      </c>
      <c r="I268" s="1">
        <v>57010102</v>
      </c>
      <c r="J268" s="1" t="s">
        <v>324</v>
      </c>
    </row>
    <row r="269" spans="1:10">
      <c r="A269" t="str">
        <f>VLOOKUP(LEFT(B269,4),name,2,FALSE)</f>
        <v>直接人工损益(80%)</v>
      </c>
      <c r="B269" t="s">
        <v>41</v>
      </c>
      <c r="C269" t="str">
        <f>VLOOKUP(D269,name,2,FALSE)</f>
        <v>制造费用-薪资支出-直接技师-加班费</v>
      </c>
      <c r="D269">
        <v>45010112</v>
      </c>
      <c r="E269">
        <v>-1</v>
      </c>
      <c r="I269" s="1">
        <v>57010103</v>
      </c>
      <c r="J269" s="1" t="s">
        <v>325</v>
      </c>
    </row>
    <row r="270" spans="1:10">
      <c r="A270" t="str">
        <f>VLOOKUP(LEFT(B270,4),name,2,FALSE)</f>
        <v>直接人工损益(80%)</v>
      </c>
      <c r="B270" t="s">
        <v>41</v>
      </c>
      <c r="C270" t="str">
        <f>VLOOKUP(D270,name,2,FALSE)</f>
        <v>制造费用-薪资支出-直接技师-奖金</v>
      </c>
      <c r="D270">
        <v>45010113</v>
      </c>
      <c r="E270">
        <v>-1</v>
      </c>
      <c r="I270" s="1">
        <v>570102</v>
      </c>
      <c r="J270" s="1" t="s">
        <v>326</v>
      </c>
    </row>
    <row r="271" spans="1:10">
      <c r="A271" t="str">
        <f>VLOOKUP(LEFT(B271,4),name,2,FALSE)</f>
        <v>直接人工损益(80%)</v>
      </c>
      <c r="B271" t="s">
        <v>41</v>
      </c>
      <c r="C271" t="str">
        <f>VLOOKUP(D271,name,2,FALSE)</f>
        <v>制造费用-薪资支出-直接作业员-基本薪资</v>
      </c>
      <c r="D271">
        <v>45010114</v>
      </c>
      <c r="E271">
        <v>-1</v>
      </c>
      <c r="I271" s="1">
        <v>570103</v>
      </c>
      <c r="J271" s="1" t="s">
        <v>327</v>
      </c>
    </row>
    <row r="272" spans="1:10">
      <c r="A272" t="str">
        <f>VLOOKUP(LEFT(B272,4),name,2,FALSE)</f>
        <v>直接人工损益(80%)</v>
      </c>
      <c r="B272" t="s">
        <v>41</v>
      </c>
      <c r="C272" t="str">
        <f>VLOOKUP(D272,name,2,FALSE)</f>
        <v>制造费用-薪资支出-直接作业员-加班费</v>
      </c>
      <c r="D272">
        <v>45010115</v>
      </c>
      <c r="E272">
        <v>-1</v>
      </c>
      <c r="I272" s="1">
        <v>570104</v>
      </c>
      <c r="J272" s="1" t="s">
        <v>328</v>
      </c>
    </row>
    <row r="273" spans="1:10">
      <c r="A273" t="str">
        <f>VLOOKUP(LEFT(B273,4),name,2,FALSE)</f>
        <v>直接人工损益(80%)</v>
      </c>
      <c r="B273" t="s">
        <v>41</v>
      </c>
      <c r="C273" t="str">
        <f>VLOOKUP(D273,name,2,FALSE)</f>
        <v>制造费用-薪资支出-直接作业员-奖金</v>
      </c>
      <c r="D273">
        <v>45010116</v>
      </c>
      <c r="E273">
        <v>-1</v>
      </c>
      <c r="I273" s="1">
        <v>570105</v>
      </c>
      <c r="J273" s="1" t="s">
        <v>329</v>
      </c>
    </row>
    <row r="274" spans="1:10">
      <c r="A274" t="str">
        <f>VLOOKUP(LEFT(B274,4),name,2,FALSE)</f>
        <v>直接人工损益(80%)</v>
      </c>
      <c r="B274" t="s">
        <v>41</v>
      </c>
      <c r="C274" t="str">
        <f>VLOOKUP(D274,name,2,FALSE)</f>
        <v>制造费用-薪资支出-直接作业员-劳务派遣</v>
      </c>
      <c r="D274">
        <v>45010117</v>
      </c>
      <c r="E274">
        <v>-1</v>
      </c>
      <c r="I274" s="1">
        <v>570106</v>
      </c>
      <c r="J274" s="1" t="s">
        <v>330</v>
      </c>
    </row>
    <row r="275" spans="1:10">
      <c r="A275" t="str">
        <f>VLOOKUP(LEFT(B275,4),name,2,FALSE)</f>
        <v>间接人工损益(20%)</v>
      </c>
      <c r="B275" t="s">
        <v>42</v>
      </c>
      <c r="C275" t="str">
        <f>VLOOKUP(D275,name,2,FALSE)</f>
        <v>实际扫描-间接人工收入</v>
      </c>
      <c r="D275">
        <v>8999011101</v>
      </c>
      <c r="E275">
        <v>1</v>
      </c>
      <c r="I275" s="1">
        <v>570107</v>
      </c>
      <c r="J275" s="1" t="s">
        <v>331</v>
      </c>
    </row>
    <row r="276" spans="1:10">
      <c r="A276" t="str">
        <f>VLOOKUP(LEFT(B276,4),name,2,FALSE)</f>
        <v>间接人工损益(20%)</v>
      </c>
      <c r="B276" t="s">
        <v>42</v>
      </c>
      <c r="C276" t="str">
        <f>VLOOKUP(D276,name,2,FALSE)</f>
        <v>制造费用-薪资支出-间接专业-基本薪资</v>
      </c>
      <c r="D276">
        <v>45010101</v>
      </c>
      <c r="E276">
        <v>-1</v>
      </c>
      <c r="I276" s="1">
        <v>570108</v>
      </c>
      <c r="J276" s="1" t="s">
        <v>332</v>
      </c>
    </row>
    <row r="277" spans="1:10">
      <c r="A277" t="str">
        <f>VLOOKUP(LEFT(B277,4),name,2,FALSE)</f>
        <v>间接人工损益(20%)</v>
      </c>
      <c r="B277" t="s">
        <v>42</v>
      </c>
      <c r="C277" t="str">
        <f>VLOOKUP(D277,name,2,FALSE)</f>
        <v>制造费用-薪资支出-间接专业-加班费</v>
      </c>
      <c r="D277">
        <v>45010102</v>
      </c>
      <c r="E277">
        <v>-1</v>
      </c>
      <c r="I277" s="1">
        <v>570109</v>
      </c>
      <c r="J277" s="1" t="s">
        <v>333</v>
      </c>
    </row>
    <row r="278" spans="1:10">
      <c r="A278" t="str">
        <f>VLOOKUP(LEFT(B278,4),name,2,FALSE)</f>
        <v>间接人工损益(20%)</v>
      </c>
      <c r="B278" t="s">
        <v>42</v>
      </c>
      <c r="C278" t="str">
        <f>VLOOKUP(D278,name,2,FALSE)</f>
        <v>制造费用-薪资支出-间接专业-奖金</v>
      </c>
      <c r="D278">
        <v>45010103</v>
      </c>
      <c r="E278">
        <v>-1</v>
      </c>
      <c r="I278" s="1">
        <v>57010901</v>
      </c>
      <c r="J278" s="1" t="s">
        <v>334</v>
      </c>
    </row>
    <row r="279" spans="1:10">
      <c r="A279" t="str">
        <f>VLOOKUP(LEFT(B279,4),name,2,FALSE)</f>
        <v>间接人工损益(20%)</v>
      </c>
      <c r="B279" t="s">
        <v>42</v>
      </c>
      <c r="C279" t="str">
        <f>VLOOKUP(D279,name,2,FALSE)</f>
        <v>制造费用-薪资支出-间接一般-基本薪资</v>
      </c>
      <c r="D279">
        <v>45010104</v>
      </c>
      <c r="E279">
        <v>-1</v>
      </c>
      <c r="I279" s="1">
        <v>57010902</v>
      </c>
      <c r="J279" s="1" t="s">
        <v>335</v>
      </c>
    </row>
    <row r="280" spans="1:10">
      <c r="A280" t="str">
        <f>VLOOKUP(LEFT(B280,4),name,2,FALSE)</f>
        <v>间接人工损益(20%)</v>
      </c>
      <c r="B280" t="s">
        <v>42</v>
      </c>
      <c r="C280" t="str">
        <f>VLOOKUP(D280,name,2,FALSE)</f>
        <v>制造费用-薪资支出-间接一般-加班费</v>
      </c>
      <c r="D280">
        <v>45010105</v>
      </c>
      <c r="E280">
        <v>-1</v>
      </c>
      <c r="I280" s="1">
        <v>57010903</v>
      </c>
      <c r="J280" s="1" t="s">
        <v>336</v>
      </c>
    </row>
    <row r="281" spans="1:10">
      <c r="A281" t="str">
        <f>VLOOKUP(LEFT(B281,4),name,2,FALSE)</f>
        <v>间接人工损益(20%)</v>
      </c>
      <c r="B281" t="s">
        <v>42</v>
      </c>
      <c r="C281" t="str">
        <f>VLOOKUP(D281,name,2,FALSE)</f>
        <v>制造费用-薪资支出-间接一般-奖金</v>
      </c>
      <c r="D281">
        <v>45010106</v>
      </c>
      <c r="E281">
        <v>-1</v>
      </c>
      <c r="I281" s="1">
        <v>570110</v>
      </c>
      <c r="J281" s="1" t="s">
        <v>337</v>
      </c>
    </row>
    <row r="282" spans="1:10">
      <c r="A282" t="str">
        <f>VLOOKUP(LEFT(B282,4),name,2,FALSE)</f>
        <v>标准稼动-制一收入(30%)</v>
      </c>
      <c r="B282" t="s">
        <v>43</v>
      </c>
      <c r="C282" t="str">
        <f>VLOOKUP(D282,name,2,FALSE)</f>
        <v>标准稼动-制造收入</v>
      </c>
      <c r="D282">
        <v>89990102</v>
      </c>
      <c r="E282">
        <v>0.3</v>
      </c>
      <c r="I282" s="1">
        <v>570111</v>
      </c>
      <c r="J282" s="1" t="s">
        <v>338</v>
      </c>
    </row>
    <row r="283" spans="1:10">
      <c r="A283" t="str">
        <f>VLOOKUP(LEFT(B283,4),name,2,FALSE)</f>
        <v>标准稼动-制二收入(70%)</v>
      </c>
      <c r="B283" t="s">
        <v>44</v>
      </c>
      <c r="C283" t="str">
        <f>VLOOKUP(D283,name,2,FALSE)</f>
        <v>标准稼动-制造收入</v>
      </c>
      <c r="D283">
        <v>89990102</v>
      </c>
      <c r="E283">
        <v>0.7</v>
      </c>
      <c r="I283" s="1">
        <v>570112</v>
      </c>
      <c r="J283" s="1" t="s">
        <v>339</v>
      </c>
    </row>
    <row r="284" spans="1:10">
      <c r="A284" t="str">
        <f>VLOOKUP(LEFT(B284,4),name,2,FALSE)</f>
        <v>实际扫描-制造收入</v>
      </c>
      <c r="B284" t="s">
        <v>45</v>
      </c>
      <c r="C284" t="str">
        <f>VLOOKUP(D284,name,2,FALSE)</f>
        <v>制造费用-标准-变动制造费用</v>
      </c>
      <c r="D284">
        <v>45000103</v>
      </c>
      <c r="E284">
        <v>1</v>
      </c>
      <c r="I284" s="1">
        <v>570113</v>
      </c>
      <c r="J284" s="1" t="s">
        <v>340</v>
      </c>
    </row>
    <row r="285" spans="1:10">
      <c r="A285" t="str">
        <f>VLOOKUP(LEFT(B285,4),name,2,FALSE)</f>
        <v>实际扫描-制造收入</v>
      </c>
      <c r="B285" t="s">
        <v>45</v>
      </c>
      <c r="C285" t="str">
        <f>VLOOKUP(D285,name,2,FALSE)</f>
        <v>制造费用-WIP-变动制造费用</v>
      </c>
      <c r="D285">
        <v>45000203</v>
      </c>
      <c r="E285">
        <v>1</v>
      </c>
      <c r="I285" s="1">
        <v>570114</v>
      </c>
      <c r="J285" s="1" t="s">
        <v>341</v>
      </c>
    </row>
    <row r="286" spans="1:10">
      <c r="A286" t="str">
        <f>VLOOKUP(LEFT(B286,4),name,2,FALSE)</f>
        <v>实际扫描-制一收入(30%)</v>
      </c>
      <c r="B286" t="s">
        <v>46</v>
      </c>
      <c r="C286" t="str">
        <f>VLOOKUP(D286,name,2,FALSE)</f>
        <v>制造费用-标准-变动制造费用</v>
      </c>
      <c r="D286">
        <v>45000103</v>
      </c>
      <c r="E286">
        <v>0.3</v>
      </c>
      <c r="I286" s="1">
        <v>570115</v>
      </c>
      <c r="J286" s="1" t="s">
        <v>342</v>
      </c>
    </row>
    <row r="287" spans="1:10">
      <c r="A287" t="str">
        <f>VLOOKUP(LEFT(B287,4),name,2,FALSE)</f>
        <v>实际扫描-制一收入(30%)</v>
      </c>
      <c r="B287" t="s">
        <v>46</v>
      </c>
      <c r="C287" t="str">
        <f>VLOOKUP(D287,name,2,FALSE)</f>
        <v>制造费用-WIP-变动制造费用</v>
      </c>
      <c r="D287">
        <v>45000203</v>
      </c>
      <c r="E287">
        <v>0.3</v>
      </c>
      <c r="I287" s="1">
        <v>570116</v>
      </c>
      <c r="J287" s="1" t="s">
        <v>343</v>
      </c>
    </row>
    <row r="288" spans="1:10">
      <c r="A288" t="str">
        <f>VLOOKUP(LEFT(B288,4),name,2,FALSE)</f>
        <v>实际扫描-制二收入(70%)</v>
      </c>
      <c r="B288" t="s">
        <v>47</v>
      </c>
      <c r="C288" t="str">
        <f>VLOOKUP(D288,name,2,FALSE)</f>
        <v>制造费用-标准-变动制造费用</v>
      </c>
      <c r="D288">
        <v>45000103</v>
      </c>
      <c r="E288">
        <v>0.7</v>
      </c>
      <c r="I288" s="1">
        <v>57011601</v>
      </c>
      <c r="J288" s="1" t="s">
        <v>344</v>
      </c>
    </row>
    <row r="289" spans="1:10">
      <c r="A289" t="str">
        <f>VLOOKUP(LEFT(B289,4),name,2,FALSE)</f>
        <v>实际扫描-制二收入(70%)</v>
      </c>
      <c r="B289" t="s">
        <v>47</v>
      </c>
      <c r="C289" t="str">
        <f>VLOOKUP(D289,name,2,FALSE)</f>
        <v>制造费用-WIP-变动制造费用</v>
      </c>
      <c r="D289">
        <v>45000203</v>
      </c>
      <c r="E289">
        <v>0.7</v>
      </c>
      <c r="I289" s="1">
        <v>57011602</v>
      </c>
      <c r="J289" s="1" t="s">
        <v>345</v>
      </c>
    </row>
    <row r="290" spans="1:10">
      <c r="A290" t="str">
        <f>VLOOKUP(LEFT(B290,4),name,2,FALSE)</f>
        <v>掃瞄-制造架動率</v>
      </c>
      <c r="B290" t="s">
        <v>48</v>
      </c>
      <c r="C290" t="str">
        <f>VLOOKUP(D290,name,2,FALSE)</f>
        <v>制造费用-标准-直接人工</v>
      </c>
      <c r="D290">
        <v>45000102</v>
      </c>
      <c r="E290">
        <v>1</v>
      </c>
      <c r="I290" s="1">
        <v>57011603</v>
      </c>
      <c r="J290" s="1" t="s">
        <v>346</v>
      </c>
    </row>
    <row r="291" spans="1:10">
      <c r="A291" t="str">
        <f>VLOOKUP(LEFT(B291,4),name,2,FALSE)</f>
        <v>掃瞄-制造架動率</v>
      </c>
      <c r="B291" t="s">
        <v>48</v>
      </c>
      <c r="C291" t="str">
        <f>VLOOKUP(D291,name,2,FALSE)</f>
        <v>制造费用-WIP-直接人工</v>
      </c>
      <c r="D291">
        <v>45000202</v>
      </c>
      <c r="E291">
        <v>1</v>
      </c>
      <c r="I291" s="1">
        <v>570118</v>
      </c>
      <c r="J291" s="1" t="s">
        <v>347</v>
      </c>
    </row>
    <row r="292" spans="1:10">
      <c r="A292" t="str">
        <f>VLOOKUP(LEFT(B292,4),name,2,FALSE)</f>
        <v>掃瞄-制造架動率</v>
      </c>
      <c r="B292" t="s">
        <v>49</v>
      </c>
      <c r="C292" t="str">
        <f>VLOOKUP(D292,name,2,FALSE)</f>
        <v>标准稼动-制造收入</v>
      </c>
      <c r="D292">
        <v>89990102</v>
      </c>
      <c r="E292">
        <v>1</v>
      </c>
      <c r="I292" s="1">
        <v>570119</v>
      </c>
      <c r="J292" s="1" t="s">
        <v>348</v>
      </c>
    </row>
    <row r="293" spans="1:10">
      <c r="A293" t="str">
        <f>VLOOKUP(LEFT(B293,4),name,2,FALSE)</f>
        <v>制一费用</v>
      </c>
      <c r="B293" t="s">
        <v>50</v>
      </c>
      <c r="C293" t="str">
        <f>VLOOKUP(D293,name,2,FALSE)</f>
        <v>制造费用-文具用品</v>
      </c>
      <c r="D293">
        <v>450103</v>
      </c>
      <c r="E293">
        <v>1</v>
      </c>
      <c r="I293" s="1">
        <v>57011901</v>
      </c>
      <c r="J293" s="1" t="s">
        <v>349</v>
      </c>
    </row>
    <row r="294" spans="1:10">
      <c r="A294" t="str">
        <f>VLOOKUP(LEFT(B294,4),name,2,FALSE)</f>
        <v>制一费用</v>
      </c>
      <c r="B294" t="s">
        <v>50</v>
      </c>
      <c r="C294" t="str">
        <f>VLOOKUP(D294,name,2,FALSE)</f>
        <v>制造费用-旅费</v>
      </c>
      <c r="D294">
        <v>450104</v>
      </c>
      <c r="E294">
        <v>1</v>
      </c>
      <c r="I294" s="1">
        <v>57011902</v>
      </c>
      <c r="J294" s="1" t="s">
        <v>350</v>
      </c>
    </row>
    <row r="295" spans="1:10">
      <c r="A295" t="str">
        <f>VLOOKUP(LEFT(B295,4),name,2,FALSE)</f>
        <v>制一费用</v>
      </c>
      <c r="B295" t="s">
        <v>50</v>
      </c>
      <c r="C295" t="str">
        <f>VLOOKUP(D295,name,2,FALSE)</f>
        <v>制造费用-运费</v>
      </c>
      <c r="D295">
        <v>450105</v>
      </c>
      <c r="E295">
        <v>1</v>
      </c>
      <c r="I295" s="1">
        <v>570121</v>
      </c>
      <c r="J295" s="1" t="s">
        <v>351</v>
      </c>
    </row>
    <row r="296" spans="1:10">
      <c r="A296" t="str">
        <f>VLOOKUP(LEFT(B296,4),name,2,FALSE)</f>
        <v>制一费用</v>
      </c>
      <c r="B296" t="s">
        <v>50</v>
      </c>
      <c r="C296" t="str">
        <f>VLOOKUP(D296,name,2,FALSE)</f>
        <v>制造费用-邮电费</v>
      </c>
      <c r="D296">
        <v>450106</v>
      </c>
      <c r="E296">
        <v>1</v>
      </c>
      <c r="I296" s="1">
        <v>570122</v>
      </c>
      <c r="J296" s="1" t="s">
        <v>352</v>
      </c>
    </row>
    <row r="297" spans="1:10">
      <c r="A297" t="str">
        <f>VLOOKUP(LEFT(B297,4),name,2,FALSE)</f>
        <v>制一费用</v>
      </c>
      <c r="B297" t="s">
        <v>50</v>
      </c>
      <c r="C297" t="str">
        <f>VLOOKUP(D297,name,2,FALSE)</f>
        <v>制造费用-修缮费</v>
      </c>
      <c r="D297">
        <v>450107</v>
      </c>
      <c r="E297">
        <v>1</v>
      </c>
      <c r="I297" s="1">
        <v>57012201</v>
      </c>
      <c r="J297" s="1" t="s">
        <v>353</v>
      </c>
    </row>
    <row r="298" spans="1:10">
      <c r="A298" t="str">
        <f>VLOOKUP(LEFT(B298,4),name,2,FALSE)</f>
        <v>制一费用</v>
      </c>
      <c r="B298" t="s">
        <v>50</v>
      </c>
      <c r="C298" t="str">
        <f>VLOOKUP(D298,name,2,FALSE)</f>
        <v>制造费用-广告费</v>
      </c>
      <c r="D298">
        <v>450108</v>
      </c>
      <c r="E298">
        <v>1</v>
      </c>
      <c r="I298" s="1">
        <v>57012202</v>
      </c>
      <c r="J298" s="1" t="s">
        <v>354</v>
      </c>
    </row>
    <row r="299" spans="1:10">
      <c r="A299" t="str">
        <f>VLOOKUP(LEFT(B299,4),name,2,FALSE)</f>
        <v>制一费用</v>
      </c>
      <c r="B299" t="s">
        <v>50</v>
      </c>
      <c r="C299" t="str">
        <f>VLOOKUP(D299,name,2,FALSE)</f>
        <v>制造费用-保险费</v>
      </c>
      <c r="D299">
        <v>450110</v>
      </c>
      <c r="E299">
        <v>1</v>
      </c>
      <c r="I299" s="1">
        <v>570123</v>
      </c>
      <c r="J299" s="1" t="s">
        <v>355</v>
      </c>
    </row>
    <row r="300" spans="1:10">
      <c r="A300" t="str">
        <f>VLOOKUP(LEFT(B300,4),name,2,FALSE)</f>
        <v>制一费用</v>
      </c>
      <c r="B300" t="s">
        <v>50</v>
      </c>
      <c r="C300" t="str">
        <f>VLOOKUP(D300,name,2,FALSE)</f>
        <v>制造费用-交际费</v>
      </c>
      <c r="D300">
        <v>450111</v>
      </c>
      <c r="E300">
        <v>1</v>
      </c>
      <c r="I300" s="1">
        <v>570124</v>
      </c>
      <c r="J300" s="1" t="s">
        <v>356</v>
      </c>
    </row>
    <row r="301" spans="1:10">
      <c r="A301" t="str">
        <f>VLOOKUP(LEFT(B301,4),name,2,FALSE)</f>
        <v>制一费用</v>
      </c>
      <c r="B301" t="s">
        <v>50</v>
      </c>
      <c r="C301" t="str">
        <f>VLOOKUP(D301,name,2,FALSE)</f>
        <v>制造费用-捐赠</v>
      </c>
      <c r="D301">
        <v>450112</v>
      </c>
      <c r="E301">
        <v>1</v>
      </c>
      <c r="I301" s="1">
        <v>570125</v>
      </c>
      <c r="J301" s="1" t="s">
        <v>357</v>
      </c>
    </row>
    <row r="302" spans="1:10">
      <c r="A302" t="str">
        <f>VLOOKUP(LEFT(B302,4),name,2,FALSE)</f>
        <v>制一费用</v>
      </c>
      <c r="B302" t="s">
        <v>50</v>
      </c>
      <c r="C302" t="str">
        <f>VLOOKUP(D302,name,2,FALSE)</f>
        <v>制造费用-税捐</v>
      </c>
      <c r="D302">
        <v>450113</v>
      </c>
      <c r="E302">
        <v>1</v>
      </c>
      <c r="I302" s="1">
        <v>57012501</v>
      </c>
      <c r="J302" s="1" t="s">
        <v>358</v>
      </c>
    </row>
    <row r="303" spans="1:10">
      <c r="A303" t="str">
        <f>VLOOKUP(LEFT(B303,4),name,2,FALSE)</f>
        <v>制一费用</v>
      </c>
      <c r="B303" t="s">
        <v>50</v>
      </c>
      <c r="C303" t="str">
        <f>VLOOKUP(D303,name,2,FALSE)</f>
        <v>制造费用-呆帐损失</v>
      </c>
      <c r="D303">
        <v>450114</v>
      </c>
      <c r="E303">
        <v>1</v>
      </c>
      <c r="I303" s="1">
        <v>57012509</v>
      </c>
      <c r="J303" s="1" t="s">
        <v>359</v>
      </c>
    </row>
    <row r="304" spans="1:10">
      <c r="A304" t="str">
        <f>VLOOKUP(LEFT(B304,4),name,2,FALSE)</f>
        <v>制一费用</v>
      </c>
      <c r="B304" t="s">
        <v>50</v>
      </c>
      <c r="C304" t="str">
        <f>VLOOKUP(D304,name,2,FALSE)</f>
        <v>制造费用-伙食费</v>
      </c>
      <c r="D304">
        <v>450117</v>
      </c>
      <c r="E304">
        <v>1</v>
      </c>
      <c r="I304" s="1">
        <v>570126</v>
      </c>
      <c r="J304" s="1" t="s">
        <v>360</v>
      </c>
    </row>
    <row r="305" spans="1:10">
      <c r="A305" t="str">
        <f>VLOOKUP(LEFT(B305,4),name,2,FALSE)</f>
        <v>制一费用</v>
      </c>
      <c r="B305" t="s">
        <v>50</v>
      </c>
      <c r="C305" t="str">
        <f>VLOOKUP(D305,name,2,FALSE)</f>
        <v>制造费用-职工褔利</v>
      </c>
      <c r="D305">
        <v>450118</v>
      </c>
      <c r="E305">
        <v>1</v>
      </c>
      <c r="I305" s="1">
        <v>57012601</v>
      </c>
      <c r="J305" s="1" t="s">
        <v>361</v>
      </c>
    </row>
    <row r="306" spans="1:10">
      <c r="A306" t="str">
        <f>VLOOKUP(LEFT(B306,4),name,2,FALSE)</f>
        <v>制一费用</v>
      </c>
      <c r="B306" t="s">
        <v>50</v>
      </c>
      <c r="C306" t="str">
        <f>VLOOKUP(D306,name,2,FALSE)</f>
        <v>制造费用-委托研究费</v>
      </c>
      <c r="D306">
        <v>450119</v>
      </c>
      <c r="E306">
        <v>1</v>
      </c>
      <c r="I306" s="1">
        <v>57012602</v>
      </c>
      <c r="J306" s="1" t="s">
        <v>362</v>
      </c>
    </row>
    <row r="307" spans="1:10">
      <c r="A307" t="str">
        <f>VLOOKUP(LEFT(B307,4),name,2,FALSE)</f>
        <v>制一费用</v>
      </c>
      <c r="B307" t="s">
        <v>50</v>
      </c>
      <c r="C307" t="str">
        <f>VLOOKUP(D307,name,2,FALSE)</f>
        <v>制造费用-佣金支出</v>
      </c>
      <c r="D307">
        <v>450120</v>
      </c>
      <c r="E307">
        <v>1</v>
      </c>
      <c r="I307" s="1">
        <v>570127</v>
      </c>
      <c r="J307" s="1" t="s">
        <v>363</v>
      </c>
    </row>
    <row r="308" spans="1:10">
      <c r="A308" t="str">
        <f>VLOOKUP(LEFT(B308,4),name,2,FALSE)</f>
        <v>制一费用</v>
      </c>
      <c r="B308" t="s">
        <v>50</v>
      </c>
      <c r="C308" t="str">
        <f>VLOOKUP(D308,name,2,FALSE)</f>
        <v>制造费用-训练费</v>
      </c>
      <c r="D308">
        <v>450121</v>
      </c>
      <c r="E308">
        <v>1</v>
      </c>
      <c r="I308" s="1">
        <v>570128</v>
      </c>
      <c r="J308" s="1" t="s">
        <v>364</v>
      </c>
    </row>
    <row r="309" spans="1:10">
      <c r="A309" t="str">
        <f>VLOOKUP(LEFT(B309,4),name,2,FALSE)</f>
        <v>制一费用</v>
      </c>
      <c r="B309" t="s">
        <v>50</v>
      </c>
      <c r="C309" t="str">
        <f>VLOOKUP(D309,name,2,FALSE)</f>
        <v>制造费用-进出口费用</v>
      </c>
      <c r="D309">
        <v>450122</v>
      </c>
      <c r="E309">
        <v>1</v>
      </c>
      <c r="I309" s="1">
        <v>570129</v>
      </c>
      <c r="J309" s="1" t="s">
        <v>365</v>
      </c>
    </row>
    <row r="310" spans="1:10">
      <c r="A310" t="str">
        <f>VLOOKUP(LEFT(B310,4),name,2,FALSE)</f>
        <v>制一费用</v>
      </c>
      <c r="B310" t="s">
        <v>50</v>
      </c>
      <c r="C310" t="str">
        <f>VLOOKUP(D310,name,2,FALSE)</f>
        <v>制造费用-保全费</v>
      </c>
      <c r="D310">
        <v>450123</v>
      </c>
      <c r="E310">
        <v>1</v>
      </c>
      <c r="I310" s="1">
        <v>570130</v>
      </c>
      <c r="J310" s="1" t="s">
        <v>366</v>
      </c>
    </row>
    <row r="311" spans="1:10">
      <c r="A311" t="str">
        <f>VLOOKUP(LEFT(B311,4),name,2,FALSE)</f>
        <v>制一费用</v>
      </c>
      <c r="B311" t="s">
        <v>50</v>
      </c>
      <c r="C311" t="str">
        <f>VLOOKUP(D311,name,2,FALSE)</f>
        <v>制造费用-劳务费</v>
      </c>
      <c r="D311">
        <v>450124</v>
      </c>
      <c r="E311">
        <v>1</v>
      </c>
      <c r="I311" s="1">
        <v>570131</v>
      </c>
      <c r="J311" s="1" t="s">
        <v>367</v>
      </c>
    </row>
    <row r="312" spans="1:10">
      <c r="A312" t="str">
        <f>VLOOKUP(LEFT(B312,4),name,2,FALSE)</f>
        <v>制一费用</v>
      </c>
      <c r="B312" t="s">
        <v>50</v>
      </c>
      <c r="C312" t="str">
        <f>VLOOKUP(D312,name,2,FALSE)</f>
        <v>制造费用-物料费</v>
      </c>
      <c r="D312">
        <v>450125</v>
      </c>
      <c r="E312">
        <v>1</v>
      </c>
      <c r="I312" s="1">
        <v>570132</v>
      </c>
      <c r="J312" s="1" t="s">
        <v>368</v>
      </c>
    </row>
    <row r="313" spans="1:10">
      <c r="A313" t="str">
        <f>VLOOKUP(LEFT(B313,4),name,2,FALSE)</f>
        <v>制一费用</v>
      </c>
      <c r="B313" t="s">
        <v>50</v>
      </c>
      <c r="C313" t="str">
        <f>VLOOKUP(D313,name,2,FALSE)</f>
        <v>制造费用-燃料费</v>
      </c>
      <c r="D313">
        <v>450126</v>
      </c>
      <c r="E313">
        <v>1</v>
      </c>
      <c r="I313" s="1">
        <v>570133</v>
      </c>
      <c r="J313" s="1" t="s">
        <v>369</v>
      </c>
    </row>
    <row r="314" spans="1:10">
      <c r="A314" t="str">
        <f>VLOOKUP(LEFT(B314,4),name,2,FALSE)</f>
        <v>制一费用</v>
      </c>
      <c r="B314" t="s">
        <v>50</v>
      </c>
      <c r="C314" t="str">
        <f>VLOOKUP(D314,name,2,FALSE)</f>
        <v>制造费用-网络服务费用</v>
      </c>
      <c r="D314">
        <v>450127</v>
      </c>
      <c r="E314">
        <v>1</v>
      </c>
      <c r="I314" s="1">
        <v>570134</v>
      </c>
      <c r="J314" s="1" t="s">
        <v>370</v>
      </c>
    </row>
    <row r="315" spans="1:10">
      <c r="A315" t="str">
        <f>VLOOKUP(LEFT(B315,4),name,2,FALSE)</f>
        <v>制一费用</v>
      </c>
      <c r="B315" t="s">
        <v>50</v>
      </c>
      <c r="C315" t="str">
        <f>VLOOKUP(D315,name,2,FALSE)</f>
        <v>制造费用-劳动保护费</v>
      </c>
      <c r="D315">
        <v>450128</v>
      </c>
      <c r="E315">
        <v>1</v>
      </c>
      <c r="I315" s="1">
        <v>570188</v>
      </c>
      <c r="J315" s="1" t="s">
        <v>371</v>
      </c>
    </row>
    <row r="316" spans="1:10">
      <c r="A316" t="str">
        <f>VLOOKUP(LEFT(B316,4),name,2,FALSE)</f>
        <v>制一费用</v>
      </c>
      <c r="B316" t="s">
        <v>50</v>
      </c>
      <c r="C316" t="str">
        <f>VLOOKUP(D316,name,2,FALSE)</f>
        <v>制造费用-董事会费</v>
      </c>
      <c r="D316">
        <v>450131</v>
      </c>
      <c r="E316">
        <v>1</v>
      </c>
      <c r="I316" s="1">
        <v>570199</v>
      </c>
      <c r="J316" s="1" t="s">
        <v>372</v>
      </c>
    </row>
    <row r="317" spans="1:10">
      <c r="A317" t="str">
        <f>VLOOKUP(LEFT(B317,4),name,2,FALSE)</f>
        <v>制一费用</v>
      </c>
      <c r="B317" t="s">
        <v>50</v>
      </c>
      <c r="C317" t="str">
        <f>VLOOKUP(D317,name,2,FALSE)</f>
        <v>制造费用-工会经费</v>
      </c>
      <c r="D317">
        <v>450132</v>
      </c>
      <c r="E317">
        <v>1</v>
      </c>
      <c r="I317" s="1">
        <v>57019901</v>
      </c>
      <c r="J317" s="1" t="s">
        <v>373</v>
      </c>
    </row>
    <row r="318" spans="1:10">
      <c r="A318" t="str">
        <f>VLOOKUP(LEFT(B318,4),name,2,FALSE)</f>
        <v>制一费用</v>
      </c>
      <c r="B318" t="s">
        <v>50</v>
      </c>
      <c r="C318" t="str">
        <f>VLOOKUP(D318,name,2,FALSE)</f>
        <v>制造费用-展览费</v>
      </c>
      <c r="D318">
        <v>450133</v>
      </c>
      <c r="E318">
        <v>1</v>
      </c>
      <c r="I318" s="1">
        <v>57019911</v>
      </c>
      <c r="J318" s="1" t="s">
        <v>374</v>
      </c>
    </row>
    <row r="319" spans="1:10">
      <c r="A319" t="str">
        <f>VLOOKUP(LEFT(B319,4),name,2,FALSE)</f>
        <v>制一费用</v>
      </c>
      <c r="B319" t="s">
        <v>50</v>
      </c>
      <c r="C319" t="str">
        <f>VLOOKUP(D319,name,2,FALSE)</f>
        <v>制造费用-汽车费用</v>
      </c>
      <c r="D319">
        <v>450134</v>
      </c>
      <c r="E319">
        <v>1</v>
      </c>
      <c r="I319" s="1">
        <v>57019912</v>
      </c>
      <c r="J319" s="1" t="s">
        <v>375</v>
      </c>
    </row>
    <row r="320" spans="1:10">
      <c r="A320" t="str">
        <f>VLOOKUP(LEFT(B320,4),name,2,FALSE)</f>
        <v>制一费用</v>
      </c>
      <c r="B320" t="s">
        <v>50</v>
      </c>
      <c r="C320" t="str">
        <f>VLOOKUP(D320,name,2,FALSE)</f>
        <v>制造费用-其它费用</v>
      </c>
      <c r="D320">
        <v>450188</v>
      </c>
      <c r="E320">
        <v>1</v>
      </c>
      <c r="I320" s="1">
        <v>57019913</v>
      </c>
      <c r="J320" s="1" t="s">
        <v>376</v>
      </c>
    </row>
    <row r="321" spans="1:10">
      <c r="A321" t="str">
        <f>VLOOKUP(LEFT(B321,4),name,2,FALSE)</f>
        <v>制一损益</v>
      </c>
      <c r="B321" t="s">
        <v>51</v>
      </c>
      <c r="C321" t="str">
        <f>VLOOKUP(D321,name,2,FALSE)</f>
        <v>制造费用-标准-变动制造费用</v>
      </c>
      <c r="D321">
        <v>45000103</v>
      </c>
      <c r="E321">
        <v>0.3</v>
      </c>
      <c r="I321" s="1">
        <v>57019914</v>
      </c>
      <c r="J321" s="1" t="s">
        <v>377</v>
      </c>
    </row>
    <row r="322" spans="1:10">
      <c r="A322" t="str">
        <f>VLOOKUP(LEFT(B322,4),name,2,FALSE)</f>
        <v>制一损益</v>
      </c>
      <c r="B322" t="s">
        <v>51</v>
      </c>
      <c r="C322" t="str">
        <f>VLOOKUP(D322,name,2,FALSE)</f>
        <v>制造费用-WIP-变动制造费用</v>
      </c>
      <c r="D322">
        <v>45000203</v>
      </c>
      <c r="E322">
        <v>0.3</v>
      </c>
      <c r="I322" s="1">
        <v>57019915</v>
      </c>
      <c r="J322" s="1" t="s">
        <v>378</v>
      </c>
    </row>
    <row r="323" spans="1:10">
      <c r="A323" t="str">
        <f>VLOOKUP(LEFT(B323,4),name,2,FALSE)</f>
        <v>制一损益</v>
      </c>
      <c r="B323" t="s">
        <v>51</v>
      </c>
      <c r="C323" t="str">
        <f>VLOOKUP(D323,name,2,FALSE)</f>
        <v>制造费用-文具用品</v>
      </c>
      <c r="D323">
        <v>450103</v>
      </c>
      <c r="E323">
        <v>-1</v>
      </c>
      <c r="I323" s="1">
        <v>57019916</v>
      </c>
      <c r="J323" s="1" t="s">
        <v>379</v>
      </c>
    </row>
    <row r="324" spans="1:10">
      <c r="A324" t="str">
        <f>VLOOKUP(LEFT(B324,4),name,2,FALSE)</f>
        <v>制一损益</v>
      </c>
      <c r="B324" t="s">
        <v>51</v>
      </c>
      <c r="C324" t="str">
        <f>VLOOKUP(D324,name,2,FALSE)</f>
        <v>制造费用-旅费</v>
      </c>
      <c r="D324">
        <v>450104</v>
      </c>
      <c r="E324">
        <v>-1</v>
      </c>
      <c r="I324" s="1" t="s">
        <v>21</v>
      </c>
      <c r="J324" s="1" t="s">
        <v>380</v>
      </c>
    </row>
    <row r="325" spans="1:10">
      <c r="A325" t="str">
        <f>VLOOKUP(LEFT(B325,4),name,2,FALSE)</f>
        <v>制一损益</v>
      </c>
      <c r="B325" t="s">
        <v>51</v>
      </c>
      <c r="C325" t="str">
        <f>VLOOKUP(D325,name,2,FALSE)</f>
        <v>制造费用-运费</v>
      </c>
      <c r="D325">
        <v>450105</v>
      </c>
      <c r="E325">
        <v>-1</v>
      </c>
      <c r="I325" s="1">
        <v>5801</v>
      </c>
      <c r="J325" s="1" t="s">
        <v>381</v>
      </c>
    </row>
    <row r="326" spans="1:10">
      <c r="A326" t="str">
        <f>VLOOKUP(LEFT(B326,4),name,2,FALSE)</f>
        <v>制一损益</v>
      </c>
      <c r="B326" t="s">
        <v>51</v>
      </c>
      <c r="C326" t="str">
        <f>VLOOKUP(D326,name,2,FALSE)</f>
        <v>制造费用-邮电费</v>
      </c>
      <c r="D326">
        <v>450106</v>
      </c>
      <c r="E326">
        <v>-1</v>
      </c>
      <c r="I326" s="1">
        <v>580101</v>
      </c>
      <c r="J326" s="1" t="s">
        <v>382</v>
      </c>
    </row>
    <row r="327" spans="1:10">
      <c r="A327" t="str">
        <f>VLOOKUP(LEFT(B327,4),name,2,FALSE)</f>
        <v>制一损益</v>
      </c>
      <c r="B327" t="s">
        <v>51</v>
      </c>
      <c r="C327" t="str">
        <f>VLOOKUP(D327,name,2,FALSE)</f>
        <v>制造费用-修缮费</v>
      </c>
      <c r="D327">
        <v>450107</v>
      </c>
      <c r="E327">
        <v>-1</v>
      </c>
      <c r="I327" s="1">
        <v>580102</v>
      </c>
      <c r="J327" s="1" t="s">
        <v>383</v>
      </c>
    </row>
    <row r="328" spans="1:10">
      <c r="A328" t="str">
        <f>VLOOKUP(LEFT(B328,4),name,2,FALSE)</f>
        <v>制一损益</v>
      </c>
      <c r="B328" t="s">
        <v>51</v>
      </c>
      <c r="C328" t="str">
        <f>VLOOKUP(D328,name,2,FALSE)</f>
        <v>制造费用-广告费</v>
      </c>
      <c r="D328">
        <v>450108</v>
      </c>
      <c r="E328">
        <v>-1</v>
      </c>
      <c r="I328" s="1">
        <v>580103</v>
      </c>
      <c r="J328" s="1" t="s">
        <v>384</v>
      </c>
    </row>
    <row r="329" spans="1:10">
      <c r="A329" t="str">
        <f>VLOOKUP(LEFT(B329,4),name,2,FALSE)</f>
        <v>制一损益</v>
      </c>
      <c r="B329" t="s">
        <v>51</v>
      </c>
      <c r="C329" t="str">
        <f>VLOOKUP(D329,name,2,FALSE)</f>
        <v>制造费用-保险费</v>
      </c>
      <c r="D329">
        <v>450110</v>
      </c>
      <c r="E329">
        <v>-1</v>
      </c>
      <c r="I329" s="1">
        <v>580104</v>
      </c>
      <c r="J329" s="1" t="s">
        <v>385</v>
      </c>
    </row>
    <row r="330" spans="1:10">
      <c r="A330" t="str">
        <f>VLOOKUP(LEFT(B330,4),name,2,FALSE)</f>
        <v>制一损益</v>
      </c>
      <c r="B330" t="s">
        <v>51</v>
      </c>
      <c r="C330" t="str">
        <f>VLOOKUP(D330,name,2,FALSE)</f>
        <v>制造费用-交际费</v>
      </c>
      <c r="D330">
        <v>450111</v>
      </c>
      <c r="E330">
        <v>-1</v>
      </c>
      <c r="I330" s="1">
        <v>580105</v>
      </c>
      <c r="J330" s="1" t="s">
        <v>386</v>
      </c>
    </row>
    <row r="331" spans="1:10">
      <c r="A331" t="str">
        <f>VLOOKUP(LEFT(B331,4),name,2,FALSE)</f>
        <v>制一损益</v>
      </c>
      <c r="B331" t="s">
        <v>51</v>
      </c>
      <c r="C331" t="str">
        <f>VLOOKUP(D331,name,2,FALSE)</f>
        <v>制造费用-捐赠</v>
      </c>
      <c r="D331">
        <v>450112</v>
      </c>
      <c r="E331">
        <v>-1</v>
      </c>
      <c r="I331" s="1" t="s">
        <v>22</v>
      </c>
      <c r="J331" s="1" t="s">
        <v>387</v>
      </c>
    </row>
    <row r="332" spans="1:10">
      <c r="A332" t="str">
        <f>VLOOKUP(LEFT(B332,4),name,2,FALSE)</f>
        <v>制一损益</v>
      </c>
      <c r="B332" t="s">
        <v>51</v>
      </c>
      <c r="C332" t="str">
        <f>VLOOKUP(D332,name,2,FALSE)</f>
        <v>制造费用-税捐</v>
      </c>
      <c r="D332">
        <v>450113</v>
      </c>
      <c r="E332">
        <v>-1</v>
      </c>
      <c r="I332" s="1" t="s">
        <v>388</v>
      </c>
      <c r="J332" s="1" t="s">
        <v>389</v>
      </c>
    </row>
    <row r="333" spans="1:10">
      <c r="A333" t="str">
        <f>VLOOKUP(LEFT(B333,4),name,2,FALSE)</f>
        <v>制一损益</v>
      </c>
      <c r="B333" t="s">
        <v>51</v>
      </c>
      <c r="C333" t="str">
        <f>VLOOKUP(D333,name,2,FALSE)</f>
        <v>制造费用-呆帐损失</v>
      </c>
      <c r="D333">
        <v>450114</v>
      </c>
      <c r="E333">
        <v>-1</v>
      </c>
      <c r="I333" s="1">
        <v>7101</v>
      </c>
      <c r="J333" s="1" t="s">
        <v>390</v>
      </c>
    </row>
    <row r="334" spans="1:10">
      <c r="A334" t="str">
        <f>VLOOKUP(LEFT(B334,4),name,2,FALSE)</f>
        <v>制一损益</v>
      </c>
      <c r="B334" t="s">
        <v>51</v>
      </c>
      <c r="C334" t="str">
        <f>VLOOKUP(D334,name,2,FALSE)</f>
        <v>制造费用-伙食费</v>
      </c>
      <c r="D334">
        <v>450117</v>
      </c>
      <c r="E334">
        <v>-1</v>
      </c>
      <c r="I334" s="1">
        <v>710101</v>
      </c>
      <c r="J334" s="1" t="s">
        <v>391</v>
      </c>
    </row>
    <row r="335" spans="1:10">
      <c r="A335" t="str">
        <f>VLOOKUP(LEFT(B335,4),name,2,FALSE)</f>
        <v>制一损益</v>
      </c>
      <c r="B335" t="s">
        <v>51</v>
      </c>
      <c r="C335" t="str">
        <f>VLOOKUP(D335,name,2,FALSE)</f>
        <v>制造费用-职工褔利</v>
      </c>
      <c r="D335">
        <v>450118</v>
      </c>
      <c r="E335">
        <v>-1</v>
      </c>
      <c r="I335" s="1">
        <v>710102</v>
      </c>
      <c r="J335" s="1" t="s">
        <v>392</v>
      </c>
    </row>
    <row r="336" spans="1:10">
      <c r="A336" t="str">
        <f>VLOOKUP(LEFT(B336,4),name,2,FALSE)</f>
        <v>制一损益</v>
      </c>
      <c r="B336" t="s">
        <v>51</v>
      </c>
      <c r="C336" t="str">
        <f>VLOOKUP(D336,name,2,FALSE)</f>
        <v>制造费用-委托研究费</v>
      </c>
      <c r="D336">
        <v>450119</v>
      </c>
      <c r="E336">
        <v>-1</v>
      </c>
      <c r="I336" s="1">
        <v>710103</v>
      </c>
      <c r="J336" s="1" t="s">
        <v>393</v>
      </c>
    </row>
    <row r="337" spans="1:10">
      <c r="A337" t="str">
        <f>VLOOKUP(LEFT(B337,4),name,2,FALSE)</f>
        <v>制一损益</v>
      </c>
      <c r="B337" t="s">
        <v>51</v>
      </c>
      <c r="C337" t="str">
        <f>VLOOKUP(D337,name,2,FALSE)</f>
        <v>制造费用-佣金支出</v>
      </c>
      <c r="D337">
        <v>450120</v>
      </c>
      <c r="E337">
        <v>-1</v>
      </c>
      <c r="I337" s="1">
        <v>710104</v>
      </c>
      <c r="J337" s="1" t="s">
        <v>394</v>
      </c>
    </row>
    <row r="338" spans="1:10">
      <c r="A338" t="str">
        <f>VLOOKUP(LEFT(B338,4),name,2,FALSE)</f>
        <v>制一损益</v>
      </c>
      <c r="B338" t="s">
        <v>51</v>
      </c>
      <c r="C338" t="str">
        <f>VLOOKUP(D338,name,2,FALSE)</f>
        <v>制造费用-训练费</v>
      </c>
      <c r="D338">
        <v>450121</v>
      </c>
      <c r="E338">
        <v>-1</v>
      </c>
      <c r="I338" s="1">
        <v>710105</v>
      </c>
      <c r="J338" s="1" t="s">
        <v>395</v>
      </c>
    </row>
    <row r="339" spans="1:10">
      <c r="A339" t="str">
        <f>VLOOKUP(LEFT(B339,4),name,2,FALSE)</f>
        <v>制一损益</v>
      </c>
      <c r="B339" t="s">
        <v>51</v>
      </c>
      <c r="C339" t="str">
        <f>VLOOKUP(D339,name,2,FALSE)</f>
        <v>制造费用-进出口费用</v>
      </c>
      <c r="D339">
        <v>450122</v>
      </c>
      <c r="E339">
        <v>-1</v>
      </c>
      <c r="I339" s="1">
        <v>710106</v>
      </c>
      <c r="J339" s="1" t="s">
        <v>396</v>
      </c>
    </row>
    <row r="340" spans="1:10">
      <c r="A340" t="str">
        <f>VLOOKUP(LEFT(B340,4),name,2,FALSE)</f>
        <v>制一损益</v>
      </c>
      <c r="B340" t="s">
        <v>51</v>
      </c>
      <c r="C340" t="str">
        <f>VLOOKUP(D340,name,2,FALSE)</f>
        <v>制造费用-保全费</v>
      </c>
      <c r="D340">
        <v>450123</v>
      </c>
      <c r="E340">
        <v>-1</v>
      </c>
      <c r="I340" s="1">
        <v>710109</v>
      </c>
      <c r="J340" s="1" t="s">
        <v>397</v>
      </c>
    </row>
    <row r="341" spans="1:10">
      <c r="A341" t="str">
        <f>VLOOKUP(LEFT(B341,4),name,2,FALSE)</f>
        <v>制一损益</v>
      </c>
      <c r="B341" t="s">
        <v>51</v>
      </c>
      <c r="C341" t="str">
        <f>VLOOKUP(D341,name,2,FALSE)</f>
        <v>制造费用-劳务费</v>
      </c>
      <c r="D341">
        <v>450124</v>
      </c>
      <c r="E341">
        <v>-1</v>
      </c>
      <c r="I341" s="1">
        <v>7201</v>
      </c>
      <c r="J341" s="1" t="s">
        <v>398</v>
      </c>
    </row>
    <row r="342" spans="1:10">
      <c r="A342" t="str">
        <f>VLOOKUP(LEFT(B342,4),name,2,FALSE)</f>
        <v>制一损益</v>
      </c>
      <c r="B342" t="s">
        <v>51</v>
      </c>
      <c r="C342" t="str">
        <f>VLOOKUP(D342,name,2,FALSE)</f>
        <v>制造费用-物料费</v>
      </c>
      <c r="D342">
        <v>450125</v>
      </c>
      <c r="E342">
        <v>-1</v>
      </c>
      <c r="I342" s="1">
        <v>720101</v>
      </c>
      <c r="J342" s="1" t="s">
        <v>399</v>
      </c>
    </row>
    <row r="343" spans="1:10">
      <c r="A343" t="str">
        <f>VLOOKUP(LEFT(B343,4),name,2,FALSE)</f>
        <v>制一损益</v>
      </c>
      <c r="B343" t="s">
        <v>51</v>
      </c>
      <c r="C343" t="str">
        <f>VLOOKUP(D343,name,2,FALSE)</f>
        <v>制造费用-燃料费</v>
      </c>
      <c r="D343">
        <v>450126</v>
      </c>
      <c r="E343">
        <v>-1</v>
      </c>
      <c r="I343" s="1">
        <v>720102</v>
      </c>
      <c r="J343" s="1" t="s">
        <v>400</v>
      </c>
    </row>
    <row r="344" spans="1:10">
      <c r="A344" t="str">
        <f>VLOOKUP(LEFT(B344,4),name,2,FALSE)</f>
        <v>制一损益</v>
      </c>
      <c r="B344" t="s">
        <v>51</v>
      </c>
      <c r="C344" t="str">
        <f>VLOOKUP(D344,name,2,FALSE)</f>
        <v>制造费用-网络服务费用</v>
      </c>
      <c r="D344">
        <v>450127</v>
      </c>
      <c r="E344">
        <v>-1</v>
      </c>
      <c r="I344" s="1">
        <v>720103</v>
      </c>
      <c r="J344" s="1" t="s">
        <v>401</v>
      </c>
    </row>
    <row r="345" spans="1:10">
      <c r="A345" t="str">
        <f>VLOOKUP(LEFT(B345,4),name,2,FALSE)</f>
        <v>制一损益</v>
      </c>
      <c r="B345" t="s">
        <v>51</v>
      </c>
      <c r="C345" t="str">
        <f>VLOOKUP(D345,name,2,FALSE)</f>
        <v>制造费用-劳动保护费</v>
      </c>
      <c r="D345">
        <v>450128</v>
      </c>
      <c r="E345">
        <v>-1</v>
      </c>
      <c r="I345" s="1">
        <v>720104</v>
      </c>
      <c r="J345" s="1" t="s">
        <v>402</v>
      </c>
    </row>
    <row r="346" spans="1:10">
      <c r="A346" t="str">
        <f>VLOOKUP(LEFT(B346,4),name,2,FALSE)</f>
        <v>制一损益</v>
      </c>
      <c r="B346" t="s">
        <v>51</v>
      </c>
      <c r="C346" t="str">
        <f>VLOOKUP(D346,name,2,FALSE)</f>
        <v>制造费用-董事会费</v>
      </c>
      <c r="D346">
        <v>450131</v>
      </c>
      <c r="E346">
        <v>-1</v>
      </c>
      <c r="I346" s="1">
        <v>720105</v>
      </c>
      <c r="J346" s="1" t="s">
        <v>403</v>
      </c>
    </row>
    <row r="347" spans="1:10">
      <c r="A347" t="str">
        <f>VLOOKUP(LEFT(B347,4),name,2,FALSE)</f>
        <v>制一损益</v>
      </c>
      <c r="B347" t="s">
        <v>51</v>
      </c>
      <c r="C347" t="str">
        <f>VLOOKUP(D347,name,2,FALSE)</f>
        <v>制造费用-工会经费</v>
      </c>
      <c r="D347">
        <v>450132</v>
      </c>
      <c r="E347">
        <v>-1</v>
      </c>
      <c r="I347" s="1">
        <v>720106</v>
      </c>
      <c r="J347" s="1" t="s">
        <v>404</v>
      </c>
    </row>
    <row r="348" spans="1:10">
      <c r="A348" t="str">
        <f>VLOOKUP(LEFT(B348,4),name,2,FALSE)</f>
        <v>制一损益</v>
      </c>
      <c r="B348" t="s">
        <v>51</v>
      </c>
      <c r="C348" t="str">
        <f>VLOOKUP(D348,name,2,FALSE)</f>
        <v>制造费用-展览费</v>
      </c>
      <c r="D348">
        <v>450133</v>
      </c>
      <c r="E348">
        <v>-1</v>
      </c>
      <c r="I348" s="1">
        <v>720107</v>
      </c>
      <c r="J348" s="1" t="s">
        <v>405</v>
      </c>
    </row>
    <row r="349" spans="1:10">
      <c r="A349" t="str">
        <f>VLOOKUP(LEFT(B349,4),name,2,FALSE)</f>
        <v>制一损益</v>
      </c>
      <c r="B349" t="s">
        <v>51</v>
      </c>
      <c r="C349" t="str">
        <f>VLOOKUP(D349,name,2,FALSE)</f>
        <v>制造费用-汽车费用</v>
      </c>
      <c r="D349">
        <v>450134</v>
      </c>
      <c r="E349">
        <v>-1</v>
      </c>
      <c r="I349" s="1">
        <v>720108</v>
      </c>
      <c r="J349" s="1" t="s">
        <v>406</v>
      </c>
    </row>
    <row r="350" spans="1:10">
      <c r="A350" t="str">
        <f>VLOOKUP(LEFT(B350,4),name,2,FALSE)</f>
        <v>制一损益</v>
      </c>
      <c r="B350" t="s">
        <v>51</v>
      </c>
      <c r="C350" t="str">
        <f>VLOOKUP(D350,name,2,FALSE)</f>
        <v>制造费用-其它费用</v>
      </c>
      <c r="D350">
        <v>450188</v>
      </c>
      <c r="E350">
        <v>-1</v>
      </c>
      <c r="I350" s="1">
        <v>720109</v>
      </c>
      <c r="J350" s="1" t="s">
        <v>407</v>
      </c>
    </row>
    <row r="351" spans="1:10">
      <c r="A351" t="str">
        <f>VLOOKUP(LEFT(B351,4),name,2,FALSE)</f>
        <v>制二费用</v>
      </c>
      <c r="B351" t="s">
        <v>52</v>
      </c>
      <c r="C351" t="str">
        <f>VLOOKUP(D351,name,2,FALSE)</f>
        <v>制造费用-租金支出</v>
      </c>
      <c r="D351">
        <v>450102</v>
      </c>
      <c r="E351">
        <v>1</v>
      </c>
      <c r="I351" s="1">
        <v>720110</v>
      </c>
      <c r="J351" s="1" t="s">
        <v>408</v>
      </c>
    </row>
    <row r="352" spans="1:10">
      <c r="A352" t="str">
        <f>VLOOKUP(LEFT(B352,4),name,2,FALSE)</f>
        <v>制二费用</v>
      </c>
      <c r="B352" t="s">
        <v>52</v>
      </c>
      <c r="C352" t="str">
        <f>VLOOKUP(D352,name,2,FALSE)</f>
        <v>制造费用-水电瓦斯费</v>
      </c>
      <c r="D352">
        <v>450109</v>
      </c>
      <c r="E352">
        <v>1</v>
      </c>
      <c r="I352" s="1">
        <v>720111</v>
      </c>
      <c r="J352" s="1" t="s">
        <v>409</v>
      </c>
    </row>
    <row r="353" spans="1:10">
      <c r="A353" t="str">
        <f>VLOOKUP(LEFT(B353,4),name,2,FALSE)</f>
        <v>制二费用</v>
      </c>
      <c r="B353" t="s">
        <v>52</v>
      </c>
      <c r="C353" t="str">
        <f>VLOOKUP(D353,name,2,FALSE)</f>
        <v>制造费用-折旧</v>
      </c>
      <c r="D353">
        <v>450115</v>
      </c>
      <c r="E353">
        <v>1</v>
      </c>
      <c r="I353" s="1">
        <v>720198</v>
      </c>
      <c r="J353" s="1" t="s">
        <v>410</v>
      </c>
    </row>
    <row r="354" spans="1:10">
      <c r="A354" t="str">
        <f>VLOOKUP(LEFT(B354,4),name,2,FALSE)</f>
        <v>制二费用</v>
      </c>
      <c r="B354" t="s">
        <v>52</v>
      </c>
      <c r="C354" t="str">
        <f>VLOOKUP(D354,name,2,FALSE)</f>
        <v>制造费用-各项摊提</v>
      </c>
      <c r="D354">
        <v>450116</v>
      </c>
      <c r="E354">
        <v>1</v>
      </c>
      <c r="I354" s="1">
        <v>720199</v>
      </c>
      <c r="J354" s="1" t="s">
        <v>411</v>
      </c>
    </row>
    <row r="355" spans="1:10">
      <c r="A355" t="str">
        <f>VLOOKUP(LEFT(B355,4),name,2,FALSE)</f>
        <v>制二费用</v>
      </c>
      <c r="B355" t="s">
        <v>52</v>
      </c>
      <c r="C355" t="str">
        <f>VLOOKUP(D355,name,2,FALSE)</f>
        <v>制造费用-开模费</v>
      </c>
      <c r="D355">
        <v>450130</v>
      </c>
      <c r="E355">
        <v>1</v>
      </c>
      <c r="I355" s="1">
        <v>7301</v>
      </c>
      <c r="J355" s="1" t="s">
        <v>412</v>
      </c>
    </row>
    <row r="356" spans="1:10">
      <c r="A356" t="str">
        <f>VLOOKUP(LEFT(B356,4),name,2,FALSE)</f>
        <v>制二费用</v>
      </c>
      <c r="B356" t="s">
        <v>52</v>
      </c>
      <c r="C356" t="str">
        <f>VLOOKUP(D356,name,2,FALSE)</f>
        <v>制造费用-异状费</v>
      </c>
      <c r="D356">
        <v>450199</v>
      </c>
      <c r="E356">
        <v>1</v>
      </c>
      <c r="I356" s="1">
        <v>7901</v>
      </c>
      <c r="J356" s="1" t="s">
        <v>413</v>
      </c>
    </row>
    <row r="357" spans="1:10">
      <c r="A357" t="str">
        <f>VLOOKUP(LEFT(B357,4),name,2,FALSE)</f>
        <v>制二损益</v>
      </c>
      <c r="B357" t="s">
        <v>53</v>
      </c>
      <c r="C357" t="str">
        <f>VLOOKUP(D357,name,2,FALSE)</f>
        <v>制造费用-标准-变动制造费用</v>
      </c>
      <c r="D357">
        <v>45000103</v>
      </c>
      <c r="E357">
        <v>0.7</v>
      </c>
      <c r="I357" s="1">
        <v>790101</v>
      </c>
      <c r="J357" s="1" t="s">
        <v>413</v>
      </c>
    </row>
    <row r="358" spans="1:10">
      <c r="A358" t="str">
        <f>VLOOKUP(LEFT(B358,4),name,2,FALSE)</f>
        <v>制二损益</v>
      </c>
      <c r="B358" t="s">
        <v>53</v>
      </c>
      <c r="C358" t="str">
        <f>VLOOKUP(D358,name,2,FALSE)</f>
        <v>制造费用-WIP-变动制造费用</v>
      </c>
      <c r="D358">
        <v>45000203</v>
      </c>
      <c r="E358">
        <v>0.7</v>
      </c>
      <c r="I358" s="1" t="s">
        <v>25</v>
      </c>
      <c r="J358" s="1" t="s">
        <v>414</v>
      </c>
    </row>
    <row r="359" spans="1:10">
      <c r="A359" t="str">
        <f>VLOOKUP(LEFT(B359,4),name,2,FALSE)</f>
        <v>制二损益</v>
      </c>
      <c r="B359" t="s">
        <v>53</v>
      </c>
      <c r="C359" t="str">
        <f>VLOOKUP(D359,name,2,FALSE)</f>
        <v>制造费用-租金支出</v>
      </c>
      <c r="D359">
        <v>450102</v>
      </c>
      <c r="E359">
        <v>-1</v>
      </c>
      <c r="I359" s="1" t="s">
        <v>415</v>
      </c>
      <c r="J359" s="1" t="s">
        <v>416</v>
      </c>
    </row>
    <row r="360" spans="1:10">
      <c r="A360" t="str">
        <f>VLOOKUP(LEFT(B360,4),name,2,FALSE)</f>
        <v>制二损益</v>
      </c>
      <c r="B360" t="s">
        <v>53</v>
      </c>
      <c r="C360" t="str">
        <f>VLOOKUP(D360,name,2,FALSE)</f>
        <v>制造费用-水电瓦斯费</v>
      </c>
      <c r="D360">
        <v>450109</v>
      </c>
      <c r="E360">
        <v>-1</v>
      </c>
      <c r="I360" s="1">
        <v>8101</v>
      </c>
      <c r="J360" s="1" t="s">
        <v>417</v>
      </c>
    </row>
    <row r="361" spans="1:10">
      <c r="A361" t="str">
        <f>VLOOKUP(LEFT(B361,4),name,2,FALSE)</f>
        <v>制二损益</v>
      </c>
      <c r="B361" t="s">
        <v>53</v>
      </c>
      <c r="C361" t="str">
        <f>VLOOKUP(D361,name,2,FALSE)</f>
        <v>制造费用-折旧</v>
      </c>
      <c r="D361">
        <v>450115</v>
      </c>
      <c r="E361">
        <v>-1</v>
      </c>
      <c r="I361" s="1">
        <v>810101</v>
      </c>
      <c r="J361" s="1" t="s">
        <v>417</v>
      </c>
    </row>
    <row r="362" spans="1:10">
      <c r="A362" t="str">
        <f>VLOOKUP(LEFT(B362,4),name,2,FALSE)</f>
        <v>制二损益</v>
      </c>
      <c r="B362" t="s">
        <v>53</v>
      </c>
      <c r="C362" t="str">
        <f>VLOOKUP(D362,name,2,FALSE)</f>
        <v>制造费用-各项摊提</v>
      </c>
      <c r="D362">
        <v>450116</v>
      </c>
      <c r="E362">
        <v>-1</v>
      </c>
      <c r="I362" s="1" t="s">
        <v>28</v>
      </c>
      <c r="J362" s="1" t="s">
        <v>418</v>
      </c>
    </row>
    <row r="363" spans="1:10">
      <c r="A363" t="str">
        <f>VLOOKUP(LEFT(B363,4),name,2,FALSE)</f>
        <v>制二损益</v>
      </c>
      <c r="B363" t="s">
        <v>53</v>
      </c>
      <c r="C363" t="str">
        <f>VLOOKUP(D363,name,2,FALSE)</f>
        <v>制造费用-开模费</v>
      </c>
      <c r="D363">
        <v>450130</v>
      </c>
      <c r="E363">
        <v>-1</v>
      </c>
      <c r="I363" s="1" t="s">
        <v>29</v>
      </c>
      <c r="J363" s="1" t="s">
        <v>419</v>
      </c>
    </row>
    <row r="364" spans="1:10">
      <c r="A364" t="str">
        <f>VLOOKUP(LEFT(B364,4),name,2,FALSE)</f>
        <v>制二损益</v>
      </c>
      <c r="B364" t="s">
        <v>53</v>
      </c>
      <c r="C364" t="str">
        <f>VLOOKUP(D364,name,2,FALSE)</f>
        <v>制造费用-异状费</v>
      </c>
      <c r="D364">
        <v>450199</v>
      </c>
      <c r="E364">
        <v>-1</v>
      </c>
      <c r="I364" s="1">
        <v>89990101</v>
      </c>
      <c r="J364" s="1" t="s">
        <v>420</v>
      </c>
    </row>
    <row r="365" spans="1:10">
      <c r="A365" t="str">
        <f>VLOOKUP(LEFT(B365,4),name,2,FALSE)</f>
        <v>制总费用</v>
      </c>
      <c r="B365" t="s">
        <v>54</v>
      </c>
      <c r="C365" t="str">
        <f>VLOOKUP(D365,name,2,FALSE)</f>
        <v>制造费用-文具用品</v>
      </c>
      <c r="D365">
        <v>450103</v>
      </c>
      <c r="E365">
        <v>1</v>
      </c>
      <c r="I365" s="1" t="s">
        <v>32</v>
      </c>
      <c r="J365" s="1" t="s">
        <v>421</v>
      </c>
    </row>
    <row r="366" spans="1:10">
      <c r="A366" t="str">
        <f>VLOOKUP(LEFT(B366,4),name,2,FALSE)</f>
        <v>制总费用</v>
      </c>
      <c r="B366" t="s">
        <v>54</v>
      </c>
      <c r="C366" t="str">
        <f>VLOOKUP(D366,name,2,FALSE)</f>
        <v>制造费用-旅费</v>
      </c>
      <c r="D366">
        <v>450104</v>
      </c>
      <c r="E366">
        <v>1</v>
      </c>
      <c r="I366" s="1">
        <v>8999010101</v>
      </c>
      <c r="J366" s="1" t="s">
        <v>422</v>
      </c>
    </row>
    <row r="367" spans="1:10">
      <c r="A367" t="str">
        <f>VLOOKUP(LEFT(B367,4),name,2,FALSE)</f>
        <v>制总费用</v>
      </c>
      <c r="B367" t="s">
        <v>54</v>
      </c>
      <c r="C367" t="str">
        <f>VLOOKUP(D367,name,2,FALSE)</f>
        <v>制造费用-运费</v>
      </c>
      <c r="D367">
        <v>450105</v>
      </c>
      <c r="E367">
        <v>1</v>
      </c>
      <c r="I367" s="1">
        <v>45000102</v>
      </c>
      <c r="J367" s="1" t="s">
        <v>423</v>
      </c>
    </row>
    <row r="368" spans="1:10">
      <c r="A368" t="str">
        <f>VLOOKUP(LEFT(B368,4),name,2,FALSE)</f>
        <v>制总费用</v>
      </c>
      <c r="B368" t="s">
        <v>54</v>
      </c>
      <c r="C368" t="str">
        <f>VLOOKUP(D368,name,2,FALSE)</f>
        <v>制造费用-邮电费</v>
      </c>
      <c r="D368">
        <v>450106</v>
      </c>
      <c r="E368">
        <v>1</v>
      </c>
      <c r="I368" s="1">
        <v>45000202</v>
      </c>
      <c r="J368" s="1" t="s">
        <v>424</v>
      </c>
    </row>
    <row r="369" spans="1:10">
      <c r="A369" t="str">
        <f>VLOOKUP(LEFT(B369,4),name,2,FALSE)</f>
        <v>制总费用</v>
      </c>
      <c r="B369" t="s">
        <v>54</v>
      </c>
      <c r="C369" t="str">
        <f>VLOOKUP(D369,name,2,FALSE)</f>
        <v>制造费用-修缮费</v>
      </c>
      <c r="D369">
        <v>450107</v>
      </c>
      <c r="E369">
        <v>1</v>
      </c>
      <c r="I369" s="1" t="s">
        <v>33</v>
      </c>
      <c r="J369" s="1" t="s">
        <v>425</v>
      </c>
    </row>
    <row r="370" spans="1:10">
      <c r="A370" t="str">
        <f>VLOOKUP(LEFT(B370,4),name,2,FALSE)</f>
        <v>制总费用</v>
      </c>
      <c r="B370" t="s">
        <v>54</v>
      </c>
      <c r="C370" t="str">
        <f>VLOOKUP(D370,name,2,FALSE)</f>
        <v>制造费用-广告费</v>
      </c>
      <c r="D370">
        <v>450108</v>
      </c>
      <c r="E370">
        <v>1</v>
      </c>
      <c r="I370" s="1" t="s">
        <v>34</v>
      </c>
      <c r="J370" s="1" t="s">
        <v>426</v>
      </c>
    </row>
    <row r="371" spans="1:10">
      <c r="A371" t="str">
        <f>VLOOKUP(LEFT(B371,4),name,2,FALSE)</f>
        <v>制总费用</v>
      </c>
      <c r="B371" t="s">
        <v>54</v>
      </c>
      <c r="C371" t="str">
        <f>VLOOKUP(D371,name,2,FALSE)</f>
        <v>制造费用-保险费</v>
      </c>
      <c r="D371">
        <v>450110</v>
      </c>
      <c r="E371">
        <v>1</v>
      </c>
      <c r="I371" s="1">
        <v>8999011101</v>
      </c>
      <c r="J371" s="1" t="s">
        <v>427</v>
      </c>
    </row>
    <row r="372" spans="1:10">
      <c r="A372" t="str">
        <f>VLOOKUP(LEFT(B372,4),name,2,FALSE)</f>
        <v>制总费用</v>
      </c>
      <c r="B372" t="s">
        <v>54</v>
      </c>
      <c r="C372" t="str">
        <f>VLOOKUP(D372,name,2,FALSE)</f>
        <v>制造费用-交际费</v>
      </c>
      <c r="D372">
        <v>450111</v>
      </c>
      <c r="E372">
        <v>1</v>
      </c>
      <c r="I372" s="1" t="s">
        <v>428</v>
      </c>
      <c r="J372" s="1" t="s">
        <v>429</v>
      </c>
    </row>
    <row r="373" spans="1:10">
      <c r="A373" t="str">
        <f>VLOOKUP(LEFT(B373,4),name,2,FALSE)</f>
        <v>制总费用</v>
      </c>
      <c r="B373" t="s">
        <v>54</v>
      </c>
      <c r="C373" t="str">
        <f>VLOOKUP(D373,name,2,FALSE)</f>
        <v>制造费用-捐赠</v>
      </c>
      <c r="D373">
        <v>450112</v>
      </c>
      <c r="E373">
        <v>1</v>
      </c>
      <c r="I373" s="1">
        <v>450101</v>
      </c>
      <c r="J373" s="1" t="s">
        <v>430</v>
      </c>
    </row>
    <row r="374" spans="1:10">
      <c r="A374" t="str">
        <f>VLOOKUP(LEFT(B374,4),name,2,FALSE)</f>
        <v>制总费用</v>
      </c>
      <c r="B374" t="s">
        <v>54</v>
      </c>
      <c r="C374" t="str">
        <f>VLOOKUP(D374,name,2,FALSE)</f>
        <v>制造费用-税捐</v>
      </c>
      <c r="D374">
        <v>450113</v>
      </c>
      <c r="E374">
        <v>1</v>
      </c>
      <c r="I374" s="1" t="s">
        <v>37</v>
      </c>
      <c r="J374" s="1" t="s">
        <v>431</v>
      </c>
    </row>
    <row r="375" spans="1:10">
      <c r="A375" t="str">
        <f>VLOOKUP(LEFT(B375,4),name,2,FALSE)</f>
        <v>制总费用</v>
      </c>
      <c r="B375" t="s">
        <v>54</v>
      </c>
      <c r="C375" t="str">
        <f>VLOOKUP(D375,name,2,FALSE)</f>
        <v>制造费用-呆帐损失</v>
      </c>
      <c r="D375">
        <v>450114</v>
      </c>
      <c r="E375">
        <v>1</v>
      </c>
      <c r="I375" s="1">
        <v>45010111</v>
      </c>
      <c r="J375" s="1" t="s">
        <v>432</v>
      </c>
    </row>
    <row r="376" spans="1:10">
      <c r="A376" t="str">
        <f>VLOOKUP(LEFT(B376,4),name,2,FALSE)</f>
        <v>制总费用</v>
      </c>
      <c r="B376" t="s">
        <v>54</v>
      </c>
      <c r="C376" t="str">
        <f>VLOOKUP(D376,name,2,FALSE)</f>
        <v>制造费用-伙食费</v>
      </c>
      <c r="D376">
        <v>450117</v>
      </c>
      <c r="E376">
        <v>1</v>
      </c>
      <c r="I376" s="1">
        <v>45010112</v>
      </c>
      <c r="J376" s="1" t="s">
        <v>433</v>
      </c>
    </row>
    <row r="377" spans="1:10">
      <c r="A377" t="str">
        <f>VLOOKUP(LEFT(B377,4),name,2,FALSE)</f>
        <v>制总费用</v>
      </c>
      <c r="B377" t="s">
        <v>54</v>
      </c>
      <c r="C377" t="str">
        <f>VLOOKUP(D377,name,2,FALSE)</f>
        <v>制造费用-职工褔利</v>
      </c>
      <c r="D377">
        <v>450118</v>
      </c>
      <c r="E377">
        <v>1</v>
      </c>
      <c r="I377" s="1">
        <v>45010113</v>
      </c>
      <c r="J377" s="1" t="s">
        <v>434</v>
      </c>
    </row>
    <row r="378" spans="1:10">
      <c r="A378" t="str">
        <f>VLOOKUP(LEFT(B378,4),name,2,FALSE)</f>
        <v>制总费用</v>
      </c>
      <c r="B378" t="s">
        <v>54</v>
      </c>
      <c r="C378" t="str">
        <f>VLOOKUP(D378,name,2,FALSE)</f>
        <v>制造费用-委托研究费</v>
      </c>
      <c r="D378">
        <v>450119</v>
      </c>
      <c r="E378">
        <v>1</v>
      </c>
      <c r="I378" s="1">
        <v>45010114</v>
      </c>
      <c r="J378" s="1" t="s">
        <v>435</v>
      </c>
    </row>
    <row r="379" spans="1:10">
      <c r="A379" t="str">
        <f>VLOOKUP(LEFT(B379,4),name,2,FALSE)</f>
        <v>制总费用</v>
      </c>
      <c r="B379" t="s">
        <v>54</v>
      </c>
      <c r="C379" t="str">
        <f>VLOOKUP(D379,name,2,FALSE)</f>
        <v>制造费用-佣金支出</v>
      </c>
      <c r="D379">
        <v>450120</v>
      </c>
      <c r="E379">
        <v>1</v>
      </c>
      <c r="I379" s="1">
        <v>45010115</v>
      </c>
      <c r="J379" s="1" t="s">
        <v>436</v>
      </c>
    </row>
    <row r="380" spans="1:10">
      <c r="A380" t="str">
        <f>VLOOKUP(LEFT(B380,4),name,2,FALSE)</f>
        <v>制总费用</v>
      </c>
      <c r="B380" t="s">
        <v>54</v>
      </c>
      <c r="C380" t="str">
        <f>VLOOKUP(D380,name,2,FALSE)</f>
        <v>制造费用-训练费</v>
      </c>
      <c r="D380">
        <v>450121</v>
      </c>
      <c r="E380">
        <v>1</v>
      </c>
      <c r="I380" s="1">
        <v>45010116</v>
      </c>
      <c r="J380" s="1" t="s">
        <v>437</v>
      </c>
    </row>
    <row r="381" spans="1:10">
      <c r="A381" t="str">
        <f>VLOOKUP(LEFT(B381,4),name,2,FALSE)</f>
        <v>制总费用</v>
      </c>
      <c r="B381" t="s">
        <v>54</v>
      </c>
      <c r="C381" t="str">
        <f>VLOOKUP(D381,name,2,FALSE)</f>
        <v>制造费用-进出口费用</v>
      </c>
      <c r="D381">
        <v>450122</v>
      </c>
      <c r="E381">
        <v>1</v>
      </c>
      <c r="I381" s="1">
        <v>45010117</v>
      </c>
      <c r="J381" s="1" t="s">
        <v>438</v>
      </c>
    </row>
    <row r="382" spans="1:10">
      <c r="A382" t="str">
        <f>VLOOKUP(LEFT(B382,4),name,2,FALSE)</f>
        <v>制总费用</v>
      </c>
      <c r="B382" t="s">
        <v>54</v>
      </c>
      <c r="C382" t="str">
        <f>VLOOKUP(D382,name,2,FALSE)</f>
        <v>制造费用-保全费</v>
      </c>
      <c r="D382">
        <v>450123</v>
      </c>
      <c r="E382">
        <v>1</v>
      </c>
      <c r="I382" s="1" t="s">
        <v>38</v>
      </c>
      <c r="J382" s="1" t="s">
        <v>439</v>
      </c>
    </row>
    <row r="383" spans="1:10">
      <c r="A383" t="str">
        <f>VLOOKUP(LEFT(B383,4),name,2,FALSE)</f>
        <v>制总费用</v>
      </c>
      <c r="B383" t="s">
        <v>54</v>
      </c>
      <c r="C383" t="str">
        <f>VLOOKUP(D383,name,2,FALSE)</f>
        <v>制造费用-劳务费</v>
      </c>
      <c r="D383">
        <v>450124</v>
      </c>
      <c r="E383">
        <v>1</v>
      </c>
      <c r="I383" s="1">
        <v>45010101</v>
      </c>
      <c r="J383" s="1" t="s">
        <v>440</v>
      </c>
    </row>
    <row r="384" spans="1:10">
      <c r="A384" t="str">
        <f>VLOOKUP(LEFT(B384,4),name,2,FALSE)</f>
        <v>制总费用</v>
      </c>
      <c r="B384" t="s">
        <v>54</v>
      </c>
      <c r="C384" t="str">
        <f>VLOOKUP(D384,name,2,FALSE)</f>
        <v>制造费用-物料费</v>
      </c>
      <c r="D384">
        <v>450125</v>
      </c>
      <c r="E384">
        <v>1</v>
      </c>
      <c r="I384" s="1">
        <v>45010102</v>
      </c>
      <c r="J384" s="1" t="s">
        <v>441</v>
      </c>
    </row>
    <row r="385" spans="1:10">
      <c r="A385" t="str">
        <f>VLOOKUP(LEFT(B385,4),name,2,FALSE)</f>
        <v>制总费用</v>
      </c>
      <c r="B385" t="s">
        <v>54</v>
      </c>
      <c r="C385" t="str">
        <f>VLOOKUP(D385,name,2,FALSE)</f>
        <v>制造费用-燃料费</v>
      </c>
      <c r="D385">
        <v>450126</v>
      </c>
      <c r="E385">
        <v>1</v>
      </c>
      <c r="I385" s="1">
        <v>45010103</v>
      </c>
      <c r="J385" s="1" t="s">
        <v>442</v>
      </c>
    </row>
    <row r="386" spans="1:10">
      <c r="A386" t="str">
        <f>VLOOKUP(LEFT(B386,4),name,2,FALSE)</f>
        <v>制总费用</v>
      </c>
      <c r="B386" t="s">
        <v>54</v>
      </c>
      <c r="C386" t="str">
        <f>VLOOKUP(D386,name,2,FALSE)</f>
        <v>制造费用-网络服务费用</v>
      </c>
      <c r="D386">
        <v>450127</v>
      </c>
      <c r="E386">
        <v>1</v>
      </c>
      <c r="I386" s="1">
        <v>45010104</v>
      </c>
      <c r="J386" s="1" t="s">
        <v>443</v>
      </c>
    </row>
    <row r="387" spans="1:10">
      <c r="A387" t="str">
        <f>VLOOKUP(LEFT(B387,4),name,2,FALSE)</f>
        <v>制总费用</v>
      </c>
      <c r="B387" t="s">
        <v>54</v>
      </c>
      <c r="C387" t="str">
        <f>VLOOKUP(D387,name,2,FALSE)</f>
        <v>制造费用-劳动保护费</v>
      </c>
      <c r="D387">
        <v>450128</v>
      </c>
      <c r="E387">
        <v>1</v>
      </c>
      <c r="I387" s="1">
        <v>45010105</v>
      </c>
      <c r="J387" s="1" t="s">
        <v>444</v>
      </c>
    </row>
    <row r="388" spans="1:10">
      <c r="A388" t="str">
        <f>VLOOKUP(LEFT(B388,4),name,2,FALSE)</f>
        <v>制总费用</v>
      </c>
      <c r="B388" t="s">
        <v>54</v>
      </c>
      <c r="C388" t="str">
        <f>VLOOKUP(D388,name,2,FALSE)</f>
        <v>制造费用-董事会费</v>
      </c>
      <c r="D388">
        <v>450131</v>
      </c>
      <c r="E388">
        <v>1</v>
      </c>
      <c r="I388" s="1">
        <v>45010106</v>
      </c>
      <c r="J388" s="1" t="s">
        <v>445</v>
      </c>
    </row>
    <row r="389" spans="1:10">
      <c r="A389" t="str">
        <f>VLOOKUP(LEFT(B389,4),name,2,FALSE)</f>
        <v>制总费用</v>
      </c>
      <c r="B389" t="s">
        <v>54</v>
      </c>
      <c r="C389" t="str">
        <f>VLOOKUP(D389,name,2,FALSE)</f>
        <v>制造费用-工会经费</v>
      </c>
      <c r="D389">
        <v>450132</v>
      </c>
      <c r="E389">
        <v>1</v>
      </c>
      <c r="I389" s="1" t="s">
        <v>39</v>
      </c>
      <c r="J389" s="1" t="s">
        <v>446</v>
      </c>
    </row>
    <row r="390" spans="1:10">
      <c r="A390" t="str">
        <f>VLOOKUP(LEFT(B390,4),name,2,FALSE)</f>
        <v>制总费用</v>
      </c>
      <c r="B390" t="s">
        <v>54</v>
      </c>
      <c r="C390" t="str">
        <f>VLOOKUP(D390,name,2,FALSE)</f>
        <v>制造费用-展览费</v>
      </c>
      <c r="D390">
        <v>450133</v>
      </c>
      <c r="E390">
        <v>1</v>
      </c>
      <c r="I390" s="1" t="s">
        <v>40</v>
      </c>
      <c r="J390" s="1" t="s">
        <v>447</v>
      </c>
    </row>
    <row r="391" spans="1:10">
      <c r="A391" t="str">
        <f>VLOOKUP(LEFT(B391,4),name,2,FALSE)</f>
        <v>制总费用</v>
      </c>
      <c r="B391" t="s">
        <v>54</v>
      </c>
      <c r="C391" t="str">
        <f>VLOOKUP(D391,name,2,FALSE)</f>
        <v>制造费用-汽车费用</v>
      </c>
      <c r="D391">
        <v>450134</v>
      </c>
      <c r="E391">
        <v>1</v>
      </c>
      <c r="I391" s="1">
        <v>45000301</v>
      </c>
      <c r="J391" s="1" t="s">
        <v>448</v>
      </c>
    </row>
    <row r="392" spans="1:10">
      <c r="A392" t="str">
        <f>VLOOKUP(LEFT(B392,4),name,2,FALSE)</f>
        <v>制总费用</v>
      </c>
      <c r="B392" t="s">
        <v>54</v>
      </c>
      <c r="C392" t="str">
        <f>VLOOKUP(D392,name,2,FALSE)</f>
        <v>制造费用-其它费用</v>
      </c>
      <c r="D392">
        <v>450188</v>
      </c>
      <c r="E392">
        <v>1</v>
      </c>
      <c r="I392" s="1" t="s">
        <v>41</v>
      </c>
      <c r="J392" s="1" t="s">
        <v>449</v>
      </c>
    </row>
    <row r="393" spans="1:10">
      <c r="A393" t="str">
        <f>VLOOKUP(LEFT(B393,4),name,2,FALSE)</f>
        <v>制总费用</v>
      </c>
      <c r="B393" t="s">
        <v>54</v>
      </c>
      <c r="C393" t="str">
        <f>VLOOKUP(D393,name,2,FALSE)</f>
        <v>制造费用-租金支出</v>
      </c>
      <c r="D393">
        <v>450102</v>
      </c>
      <c r="E393">
        <v>1</v>
      </c>
      <c r="I393" s="1" t="s">
        <v>42</v>
      </c>
      <c r="J393" s="1" t="s">
        <v>450</v>
      </c>
    </row>
    <row r="394" spans="1:10">
      <c r="A394" t="str">
        <f>VLOOKUP(LEFT(B394,4),name,2,FALSE)</f>
        <v>制总费用</v>
      </c>
      <c r="B394" t="s">
        <v>54</v>
      </c>
      <c r="C394" t="str">
        <f>VLOOKUP(D394,name,2,FALSE)</f>
        <v>制造费用-水电瓦斯费</v>
      </c>
      <c r="D394">
        <v>450109</v>
      </c>
      <c r="E394">
        <v>1</v>
      </c>
      <c r="I394" s="1">
        <v>89990102</v>
      </c>
      <c r="J394" s="1" t="s">
        <v>451</v>
      </c>
    </row>
    <row r="395" spans="1:10">
      <c r="A395" t="str">
        <f>VLOOKUP(LEFT(B395,4),name,2,FALSE)</f>
        <v>制总费用</v>
      </c>
      <c r="B395" t="s">
        <v>54</v>
      </c>
      <c r="C395" t="str">
        <f>VLOOKUP(D395,name,2,FALSE)</f>
        <v>制造费用-折旧</v>
      </c>
      <c r="D395">
        <v>450115</v>
      </c>
      <c r="E395">
        <v>1</v>
      </c>
      <c r="I395" s="1" t="s">
        <v>43</v>
      </c>
      <c r="J395" s="1" t="s">
        <v>452</v>
      </c>
    </row>
    <row r="396" spans="1:10">
      <c r="A396" t="str">
        <f>VLOOKUP(LEFT(B396,4),name,2,FALSE)</f>
        <v>制总费用</v>
      </c>
      <c r="B396" t="s">
        <v>54</v>
      </c>
      <c r="C396" t="str">
        <f>VLOOKUP(D396,name,2,FALSE)</f>
        <v>制造费用-各项摊提</v>
      </c>
      <c r="D396">
        <v>450116</v>
      </c>
      <c r="E396">
        <v>1</v>
      </c>
      <c r="I396" s="1" t="s">
        <v>44</v>
      </c>
      <c r="J396" s="1" t="s">
        <v>453</v>
      </c>
    </row>
    <row r="397" spans="1:10">
      <c r="A397" t="str">
        <f>VLOOKUP(LEFT(B397,4),name,2,FALSE)</f>
        <v>制总费用</v>
      </c>
      <c r="B397" t="s">
        <v>54</v>
      </c>
      <c r="C397" t="str">
        <f>VLOOKUP(D397,name,2,FALSE)</f>
        <v>制造费用-开模费</v>
      </c>
      <c r="D397">
        <v>450130</v>
      </c>
      <c r="E397">
        <v>1</v>
      </c>
      <c r="I397" s="1">
        <v>45000103</v>
      </c>
      <c r="J397" s="1" t="s">
        <v>454</v>
      </c>
    </row>
    <row r="398" spans="1:10">
      <c r="A398" t="str">
        <f>VLOOKUP(LEFT(B398,4),name,2,FALSE)</f>
        <v>制总费用</v>
      </c>
      <c r="B398" t="s">
        <v>54</v>
      </c>
      <c r="C398" t="str">
        <f>VLOOKUP(D398,name,2,FALSE)</f>
        <v>制造费用-异状费</v>
      </c>
      <c r="D398">
        <v>450199</v>
      </c>
      <c r="E398">
        <v>1</v>
      </c>
      <c r="I398" s="1">
        <v>45000203</v>
      </c>
      <c r="J398" s="1" t="s">
        <v>455</v>
      </c>
    </row>
    <row r="399" spans="1:10">
      <c r="A399" t="str">
        <f>VLOOKUP(LEFT(B399,4),name,2,FALSE)</f>
        <v>制总损益</v>
      </c>
      <c r="B399" t="s">
        <v>55</v>
      </c>
      <c r="C399" t="str">
        <f>VLOOKUP(D399,name,2,FALSE)</f>
        <v>制造费用-标准-变动制造费用</v>
      </c>
      <c r="D399">
        <v>45000103</v>
      </c>
      <c r="E399">
        <v>1</v>
      </c>
      <c r="I399" s="1" t="s">
        <v>45</v>
      </c>
      <c r="J399" s="1" t="s">
        <v>456</v>
      </c>
    </row>
    <row r="400" spans="1:10">
      <c r="A400" t="str">
        <f>VLOOKUP(LEFT(B400,4),name,2,FALSE)</f>
        <v>制总损益</v>
      </c>
      <c r="B400" t="s">
        <v>55</v>
      </c>
      <c r="C400" t="str">
        <f>VLOOKUP(D400,name,2,FALSE)</f>
        <v>制造费用-WIP-变动制造费用</v>
      </c>
      <c r="D400">
        <v>45000203</v>
      </c>
      <c r="E400">
        <v>1</v>
      </c>
      <c r="I400" s="1" t="s">
        <v>46</v>
      </c>
      <c r="J400" s="1" t="s">
        <v>457</v>
      </c>
    </row>
    <row r="401" spans="1:10">
      <c r="A401" t="str">
        <f>VLOOKUP(LEFT(B401,4),name,2,FALSE)</f>
        <v>制总损益</v>
      </c>
      <c r="B401" t="s">
        <v>55</v>
      </c>
      <c r="C401" t="str">
        <f>VLOOKUP(D401,name,2,FALSE)</f>
        <v>制造费用-文具用品</v>
      </c>
      <c r="D401">
        <v>450103</v>
      </c>
      <c r="E401">
        <v>-1</v>
      </c>
      <c r="I401" s="1" t="s">
        <v>47</v>
      </c>
      <c r="J401" s="1" t="s">
        <v>458</v>
      </c>
    </row>
    <row r="402" spans="1:10">
      <c r="A402" t="str">
        <f>VLOOKUP(LEFT(B402,4),name,2,FALSE)</f>
        <v>制总损益</v>
      </c>
      <c r="B402" t="s">
        <v>55</v>
      </c>
      <c r="C402" t="str">
        <f>VLOOKUP(D402,name,2,FALSE)</f>
        <v>制造费用-旅费</v>
      </c>
      <c r="D402">
        <v>450104</v>
      </c>
      <c r="E402">
        <v>-1</v>
      </c>
      <c r="I402" s="1" t="s">
        <v>459</v>
      </c>
      <c r="J402" s="1" t="s">
        <v>460</v>
      </c>
    </row>
    <row r="403" spans="1:10">
      <c r="A403" t="str">
        <f>VLOOKUP(LEFT(B403,4),name,2,FALSE)</f>
        <v>制总损益</v>
      </c>
      <c r="B403" t="s">
        <v>55</v>
      </c>
      <c r="C403" t="str">
        <f>VLOOKUP(D403,name,2,FALSE)</f>
        <v>制造费用-运费</v>
      </c>
      <c r="D403">
        <v>450105</v>
      </c>
      <c r="E403">
        <v>-1</v>
      </c>
      <c r="I403" s="1">
        <v>4501</v>
      </c>
      <c r="J403" s="1" t="s">
        <v>461</v>
      </c>
    </row>
    <row r="404" spans="1:10">
      <c r="A404" t="str">
        <f>VLOOKUP(LEFT(B404,4),name,2,FALSE)</f>
        <v>制总损益</v>
      </c>
      <c r="B404" t="s">
        <v>55</v>
      </c>
      <c r="C404" t="str">
        <f>VLOOKUP(D404,name,2,FALSE)</f>
        <v>制造费用-邮电费</v>
      </c>
      <c r="D404">
        <v>450106</v>
      </c>
      <c r="E404">
        <v>-1</v>
      </c>
      <c r="I404" s="1" t="s">
        <v>50</v>
      </c>
      <c r="J404" s="1" t="s">
        <v>462</v>
      </c>
    </row>
    <row r="405" spans="1:10">
      <c r="A405" t="str">
        <f>VLOOKUP(LEFT(B405,4),name,2,FALSE)</f>
        <v>制总损益</v>
      </c>
      <c r="B405" t="s">
        <v>55</v>
      </c>
      <c r="C405" t="str">
        <f>VLOOKUP(D405,name,2,FALSE)</f>
        <v>制造费用-修缮费</v>
      </c>
      <c r="D405">
        <v>450107</v>
      </c>
      <c r="E405">
        <v>-1</v>
      </c>
      <c r="I405" s="1">
        <v>450103</v>
      </c>
      <c r="J405" s="1" t="s">
        <v>463</v>
      </c>
    </row>
    <row r="406" spans="1:10">
      <c r="A406" t="str">
        <f>VLOOKUP(LEFT(B406,4),name,2,FALSE)</f>
        <v>制总损益</v>
      </c>
      <c r="B406" t="s">
        <v>55</v>
      </c>
      <c r="C406" t="str">
        <f>VLOOKUP(D406,name,2,FALSE)</f>
        <v>制造费用-广告费</v>
      </c>
      <c r="D406">
        <v>450108</v>
      </c>
      <c r="E406">
        <v>-1</v>
      </c>
      <c r="I406" s="1">
        <v>450104</v>
      </c>
      <c r="J406" s="1" t="s">
        <v>464</v>
      </c>
    </row>
    <row r="407" spans="1:10">
      <c r="A407" t="str">
        <f>VLOOKUP(LEFT(B407,4),name,2,FALSE)</f>
        <v>制总损益</v>
      </c>
      <c r="B407" t="s">
        <v>55</v>
      </c>
      <c r="C407" t="str">
        <f>VLOOKUP(D407,name,2,FALSE)</f>
        <v>制造费用-保险费</v>
      </c>
      <c r="D407">
        <v>450110</v>
      </c>
      <c r="E407">
        <v>-1</v>
      </c>
      <c r="I407" s="1">
        <v>450105</v>
      </c>
      <c r="J407" s="1" t="s">
        <v>465</v>
      </c>
    </row>
    <row r="408" spans="1:10">
      <c r="A408" t="str">
        <f>VLOOKUP(LEFT(B408,4),name,2,FALSE)</f>
        <v>制总损益</v>
      </c>
      <c r="B408" t="s">
        <v>55</v>
      </c>
      <c r="C408" t="str">
        <f>VLOOKUP(D408,name,2,FALSE)</f>
        <v>制造费用-交际费</v>
      </c>
      <c r="D408">
        <v>450111</v>
      </c>
      <c r="E408">
        <v>-1</v>
      </c>
      <c r="I408" s="1">
        <v>450106</v>
      </c>
      <c r="J408" s="1" t="s">
        <v>466</v>
      </c>
    </row>
    <row r="409" spans="1:10">
      <c r="A409" t="str">
        <f>VLOOKUP(LEFT(B409,4),name,2,FALSE)</f>
        <v>制总损益</v>
      </c>
      <c r="B409" t="s">
        <v>55</v>
      </c>
      <c r="C409" t="str">
        <f>VLOOKUP(D409,name,2,FALSE)</f>
        <v>制造费用-捐赠</v>
      </c>
      <c r="D409">
        <v>450112</v>
      </c>
      <c r="E409">
        <v>-1</v>
      </c>
      <c r="I409" s="1">
        <v>450107</v>
      </c>
      <c r="J409" s="1" t="s">
        <v>467</v>
      </c>
    </row>
    <row r="410" spans="1:10">
      <c r="A410" t="str">
        <f>VLOOKUP(LEFT(B410,4),name,2,FALSE)</f>
        <v>制总损益</v>
      </c>
      <c r="B410" t="s">
        <v>55</v>
      </c>
      <c r="C410" t="str">
        <f>VLOOKUP(D410,name,2,FALSE)</f>
        <v>制造费用-税捐</v>
      </c>
      <c r="D410">
        <v>450113</v>
      </c>
      <c r="E410">
        <v>-1</v>
      </c>
      <c r="I410" s="1">
        <v>45010701</v>
      </c>
      <c r="J410" s="1" t="s">
        <v>468</v>
      </c>
    </row>
    <row r="411" spans="1:10">
      <c r="A411" t="str">
        <f>VLOOKUP(LEFT(B411,4),name,2,FALSE)</f>
        <v>制总损益</v>
      </c>
      <c r="B411" t="s">
        <v>55</v>
      </c>
      <c r="C411" t="str">
        <f>VLOOKUP(D411,name,2,FALSE)</f>
        <v>制造费用-呆帐损失</v>
      </c>
      <c r="D411">
        <v>450114</v>
      </c>
      <c r="E411">
        <v>-1</v>
      </c>
      <c r="I411" s="1">
        <v>45010702</v>
      </c>
      <c r="J411" s="1" t="s">
        <v>469</v>
      </c>
    </row>
    <row r="412" spans="1:10">
      <c r="A412" t="str">
        <f>VLOOKUP(LEFT(B412,4),name,2,FALSE)</f>
        <v>制总损益</v>
      </c>
      <c r="B412" t="s">
        <v>55</v>
      </c>
      <c r="C412" t="str">
        <f>VLOOKUP(D412,name,2,FALSE)</f>
        <v>制造费用-伙食费</v>
      </c>
      <c r="D412">
        <v>450117</v>
      </c>
      <c r="E412">
        <v>-1</v>
      </c>
      <c r="I412" s="1">
        <v>450108</v>
      </c>
      <c r="J412" s="1" t="s">
        <v>470</v>
      </c>
    </row>
    <row r="413" spans="1:10">
      <c r="A413" t="str">
        <f>VLOOKUP(LEFT(B413,4),name,2,FALSE)</f>
        <v>制总损益</v>
      </c>
      <c r="B413" t="s">
        <v>55</v>
      </c>
      <c r="C413" t="str">
        <f>VLOOKUP(D413,name,2,FALSE)</f>
        <v>制造费用-职工褔利</v>
      </c>
      <c r="D413">
        <v>450118</v>
      </c>
      <c r="E413">
        <v>-1</v>
      </c>
      <c r="I413" s="1">
        <v>450110</v>
      </c>
      <c r="J413" s="1" t="s">
        <v>471</v>
      </c>
    </row>
    <row r="414" spans="1:10">
      <c r="A414" t="str">
        <f>VLOOKUP(LEFT(B414,4),name,2,FALSE)</f>
        <v>制总损益</v>
      </c>
      <c r="B414" t="s">
        <v>55</v>
      </c>
      <c r="C414" t="str">
        <f>VLOOKUP(D414,name,2,FALSE)</f>
        <v>制造费用-委托研究费</v>
      </c>
      <c r="D414">
        <v>450119</v>
      </c>
      <c r="E414">
        <v>-1</v>
      </c>
      <c r="I414" s="1">
        <v>450111</v>
      </c>
      <c r="J414" s="1" t="s">
        <v>472</v>
      </c>
    </row>
    <row r="415" spans="1:10">
      <c r="A415" t="str">
        <f>VLOOKUP(LEFT(B415,4),name,2,FALSE)</f>
        <v>制总损益</v>
      </c>
      <c r="B415" t="s">
        <v>55</v>
      </c>
      <c r="C415" t="str">
        <f>VLOOKUP(D415,name,2,FALSE)</f>
        <v>制造费用-佣金支出</v>
      </c>
      <c r="D415">
        <v>450120</v>
      </c>
      <c r="E415">
        <v>-1</v>
      </c>
      <c r="I415" s="1">
        <v>450112</v>
      </c>
      <c r="J415" s="1" t="s">
        <v>473</v>
      </c>
    </row>
    <row r="416" spans="1:10">
      <c r="A416" t="str">
        <f>VLOOKUP(LEFT(B416,4),name,2,FALSE)</f>
        <v>制总损益</v>
      </c>
      <c r="B416" t="s">
        <v>55</v>
      </c>
      <c r="C416" t="str">
        <f>VLOOKUP(D416,name,2,FALSE)</f>
        <v>制造费用-训练费</v>
      </c>
      <c r="D416">
        <v>450121</v>
      </c>
      <c r="E416">
        <v>-1</v>
      </c>
      <c r="I416" s="1">
        <v>450113</v>
      </c>
      <c r="J416" s="1" t="s">
        <v>474</v>
      </c>
    </row>
    <row r="417" spans="1:10">
      <c r="A417" t="str">
        <f>VLOOKUP(LEFT(B417,4),name,2,FALSE)</f>
        <v>制总损益</v>
      </c>
      <c r="B417" t="s">
        <v>55</v>
      </c>
      <c r="C417" t="str">
        <f>VLOOKUP(D417,name,2,FALSE)</f>
        <v>制造费用-进出口费用</v>
      </c>
      <c r="D417">
        <v>450122</v>
      </c>
      <c r="E417">
        <v>-1</v>
      </c>
      <c r="I417" s="1">
        <v>450114</v>
      </c>
      <c r="J417" s="1" t="s">
        <v>475</v>
      </c>
    </row>
    <row r="418" spans="1:10">
      <c r="A418" t="str">
        <f>VLOOKUP(LEFT(B418,4),name,2,FALSE)</f>
        <v>制总损益</v>
      </c>
      <c r="B418" t="s">
        <v>55</v>
      </c>
      <c r="C418" t="str">
        <f>VLOOKUP(D418,name,2,FALSE)</f>
        <v>制造费用-保全费</v>
      </c>
      <c r="D418">
        <v>450123</v>
      </c>
      <c r="E418">
        <v>-1</v>
      </c>
      <c r="I418" s="1">
        <v>450117</v>
      </c>
      <c r="J418" s="1" t="s">
        <v>476</v>
      </c>
    </row>
    <row r="419" spans="1:10">
      <c r="A419" t="str">
        <f>VLOOKUP(LEFT(B419,4),name,2,FALSE)</f>
        <v>制总损益</v>
      </c>
      <c r="B419" t="s">
        <v>55</v>
      </c>
      <c r="C419" t="str">
        <f>VLOOKUP(D419,name,2,FALSE)</f>
        <v>制造费用-劳务费</v>
      </c>
      <c r="D419">
        <v>450124</v>
      </c>
      <c r="E419">
        <v>-1</v>
      </c>
      <c r="I419" s="1">
        <v>450118</v>
      </c>
      <c r="J419" s="1" t="s">
        <v>477</v>
      </c>
    </row>
    <row r="420" spans="1:10">
      <c r="A420" t="str">
        <f>VLOOKUP(LEFT(B420,4),name,2,FALSE)</f>
        <v>制总损益</v>
      </c>
      <c r="B420" t="s">
        <v>55</v>
      </c>
      <c r="C420" t="str">
        <f>VLOOKUP(D420,name,2,FALSE)</f>
        <v>制造费用-物料费</v>
      </c>
      <c r="D420">
        <v>450125</v>
      </c>
      <c r="E420">
        <v>-1</v>
      </c>
      <c r="I420" s="1">
        <v>450119</v>
      </c>
      <c r="J420" s="1" t="s">
        <v>478</v>
      </c>
    </row>
    <row r="421" spans="1:10">
      <c r="A421" t="str">
        <f>VLOOKUP(LEFT(B421,4),name,2,FALSE)</f>
        <v>制总损益</v>
      </c>
      <c r="B421" t="s">
        <v>55</v>
      </c>
      <c r="C421" t="str">
        <f>VLOOKUP(D421,name,2,FALSE)</f>
        <v>制造费用-燃料费</v>
      </c>
      <c r="D421">
        <v>450126</v>
      </c>
      <c r="E421">
        <v>-1</v>
      </c>
      <c r="I421" s="1">
        <v>45011901</v>
      </c>
      <c r="J421" s="1" t="s">
        <v>479</v>
      </c>
    </row>
    <row r="422" spans="1:10">
      <c r="A422" t="str">
        <f>VLOOKUP(LEFT(B422,4),name,2,FALSE)</f>
        <v>制总损益</v>
      </c>
      <c r="B422" t="s">
        <v>55</v>
      </c>
      <c r="C422" t="str">
        <f>VLOOKUP(D422,name,2,FALSE)</f>
        <v>制造费用-网络服务费用</v>
      </c>
      <c r="D422">
        <v>450127</v>
      </c>
      <c r="E422">
        <v>-1</v>
      </c>
      <c r="I422" s="1">
        <v>45011902</v>
      </c>
      <c r="J422" s="1" t="s">
        <v>480</v>
      </c>
    </row>
    <row r="423" spans="1:10">
      <c r="A423" t="str">
        <f>VLOOKUP(LEFT(B423,4),name,2,FALSE)</f>
        <v>制总损益</v>
      </c>
      <c r="B423" t="s">
        <v>55</v>
      </c>
      <c r="C423" t="str">
        <f>VLOOKUP(D423,name,2,FALSE)</f>
        <v>制造费用-劳动保护费</v>
      </c>
      <c r="D423">
        <v>450128</v>
      </c>
      <c r="E423">
        <v>-1</v>
      </c>
      <c r="I423" s="1">
        <v>450120</v>
      </c>
      <c r="J423" s="1" t="s">
        <v>481</v>
      </c>
    </row>
    <row r="424" spans="1:10">
      <c r="A424" t="str">
        <f>VLOOKUP(LEFT(B424,4),name,2,FALSE)</f>
        <v>制总损益</v>
      </c>
      <c r="B424" t="s">
        <v>55</v>
      </c>
      <c r="C424" t="str">
        <f>VLOOKUP(D424,name,2,FALSE)</f>
        <v>制造费用-董事会费</v>
      </c>
      <c r="D424">
        <v>450131</v>
      </c>
      <c r="E424">
        <v>-1</v>
      </c>
      <c r="I424" s="1">
        <v>450121</v>
      </c>
      <c r="J424" s="1" t="s">
        <v>482</v>
      </c>
    </row>
    <row r="425" spans="1:10">
      <c r="A425" t="str">
        <f>VLOOKUP(LEFT(B425,4),name,2,FALSE)</f>
        <v>制总损益</v>
      </c>
      <c r="B425" t="s">
        <v>55</v>
      </c>
      <c r="C425" t="str">
        <f>VLOOKUP(D425,name,2,FALSE)</f>
        <v>制造费用-工会经费</v>
      </c>
      <c r="D425">
        <v>450132</v>
      </c>
      <c r="E425">
        <v>-1</v>
      </c>
      <c r="I425" s="1">
        <v>450122</v>
      </c>
      <c r="J425" s="1" t="s">
        <v>483</v>
      </c>
    </row>
    <row r="426" spans="1:10">
      <c r="A426" t="str">
        <f>VLOOKUP(LEFT(B426,4),name,2,FALSE)</f>
        <v>制总损益</v>
      </c>
      <c r="B426" t="s">
        <v>55</v>
      </c>
      <c r="C426" t="str">
        <f>VLOOKUP(D426,name,2,FALSE)</f>
        <v>制造费用-展览费</v>
      </c>
      <c r="D426">
        <v>450133</v>
      </c>
      <c r="E426">
        <v>-1</v>
      </c>
      <c r="I426" s="1">
        <v>450123</v>
      </c>
      <c r="J426" s="1" t="s">
        <v>484</v>
      </c>
    </row>
    <row r="427" spans="1:10">
      <c r="A427" t="str">
        <f>VLOOKUP(LEFT(B427,4),name,2,FALSE)</f>
        <v>制总损益</v>
      </c>
      <c r="B427" t="s">
        <v>55</v>
      </c>
      <c r="C427" t="str">
        <f>VLOOKUP(D427,name,2,FALSE)</f>
        <v>制造费用-汽车费用</v>
      </c>
      <c r="D427">
        <v>450134</v>
      </c>
      <c r="E427">
        <v>-1</v>
      </c>
      <c r="I427" s="1">
        <v>450124</v>
      </c>
      <c r="J427" s="1" t="s">
        <v>485</v>
      </c>
    </row>
    <row r="428" spans="1:10">
      <c r="A428" t="str">
        <f>VLOOKUP(LEFT(B428,4),name,2,FALSE)</f>
        <v>制总损益</v>
      </c>
      <c r="B428" t="s">
        <v>55</v>
      </c>
      <c r="C428" t="str">
        <f>VLOOKUP(D428,name,2,FALSE)</f>
        <v>制造费用-其它费用</v>
      </c>
      <c r="D428">
        <v>450188</v>
      </c>
      <c r="E428">
        <v>-1</v>
      </c>
      <c r="I428" s="1">
        <v>450125</v>
      </c>
      <c r="J428" s="1" t="s">
        <v>486</v>
      </c>
    </row>
    <row r="429" spans="1:10">
      <c r="A429" t="str">
        <f>VLOOKUP(LEFT(B429,4),name,2,FALSE)</f>
        <v>制总损益</v>
      </c>
      <c r="B429" t="s">
        <v>55</v>
      </c>
      <c r="C429" t="str">
        <f>VLOOKUP(D429,name,2,FALSE)</f>
        <v>制造费用-租金支出</v>
      </c>
      <c r="D429">
        <v>450102</v>
      </c>
      <c r="E429">
        <v>-1</v>
      </c>
      <c r="I429" s="1">
        <v>45012501</v>
      </c>
      <c r="J429" s="1" t="s">
        <v>487</v>
      </c>
    </row>
    <row r="430" spans="1:10">
      <c r="A430" t="str">
        <f>VLOOKUP(LEFT(B430,4),name,2,FALSE)</f>
        <v>制总损益</v>
      </c>
      <c r="B430" t="s">
        <v>55</v>
      </c>
      <c r="C430" t="str">
        <f>VLOOKUP(D430,name,2,FALSE)</f>
        <v>制造费用-水电瓦斯费</v>
      </c>
      <c r="D430">
        <v>450109</v>
      </c>
      <c r="E430">
        <v>-1</v>
      </c>
      <c r="I430" s="1">
        <v>45012509</v>
      </c>
      <c r="J430" s="1" t="s">
        <v>488</v>
      </c>
    </row>
    <row r="431" spans="1:10">
      <c r="A431" t="str">
        <f>VLOOKUP(LEFT(B431,4),name,2,FALSE)</f>
        <v>制总损益</v>
      </c>
      <c r="B431" t="s">
        <v>55</v>
      </c>
      <c r="C431" t="str">
        <f>VLOOKUP(D431,name,2,FALSE)</f>
        <v>制造费用-折旧</v>
      </c>
      <c r="D431">
        <v>450115</v>
      </c>
      <c r="E431">
        <v>-1</v>
      </c>
      <c r="I431" s="1">
        <v>450126</v>
      </c>
      <c r="J431" s="1" t="s">
        <v>489</v>
      </c>
    </row>
    <row r="432" spans="1:10">
      <c r="A432" t="str">
        <f>VLOOKUP(LEFT(B432,4),name,2,FALSE)</f>
        <v>制总损益</v>
      </c>
      <c r="B432" t="s">
        <v>55</v>
      </c>
      <c r="C432" t="str">
        <f>VLOOKUP(D432,name,2,FALSE)</f>
        <v>制造费用-各项摊提</v>
      </c>
      <c r="D432">
        <v>450116</v>
      </c>
      <c r="E432">
        <v>-1</v>
      </c>
      <c r="I432" s="1">
        <v>45012601</v>
      </c>
      <c r="J432" s="1" t="s">
        <v>490</v>
      </c>
    </row>
    <row r="433" spans="1:10">
      <c r="A433" t="str">
        <f>VLOOKUP(LEFT(B433,4),name,2,FALSE)</f>
        <v>制总损益</v>
      </c>
      <c r="B433" t="s">
        <v>55</v>
      </c>
      <c r="C433" t="str">
        <f>VLOOKUP(D433,name,2,FALSE)</f>
        <v>制造费用-开模费</v>
      </c>
      <c r="D433">
        <v>450130</v>
      </c>
      <c r="E433">
        <v>-1</v>
      </c>
      <c r="I433" s="1">
        <v>45012602</v>
      </c>
      <c r="J433" s="1" t="s">
        <v>491</v>
      </c>
    </row>
    <row r="434" spans="1:10">
      <c r="A434" t="str">
        <f>VLOOKUP(LEFT(B434,4),name,2,FALSE)</f>
        <v>制总损益</v>
      </c>
      <c r="B434" t="s">
        <v>55</v>
      </c>
      <c r="C434" t="str">
        <f>VLOOKUP(D434,name,2,FALSE)</f>
        <v>制造费用-异状费</v>
      </c>
      <c r="D434">
        <v>450199</v>
      </c>
      <c r="E434">
        <v>-1</v>
      </c>
      <c r="I434" s="1">
        <v>450127</v>
      </c>
      <c r="J434" s="1" t="s">
        <v>492</v>
      </c>
    </row>
    <row r="435" spans="1:10">
      <c r="A435" t="str">
        <f>VLOOKUP(LEFT(B435,4),name,2,FALSE)</f>
        <v>变动制造费用-差数</v>
      </c>
      <c r="B435" t="s">
        <v>56</v>
      </c>
      <c r="C435" t="str">
        <f>VLOOKUP(D435,name,2,FALSE)</f>
        <v>制造费用-变动制造费用差异-结转</v>
      </c>
      <c r="D435">
        <v>45000302</v>
      </c>
      <c r="E435">
        <v>1</v>
      </c>
      <c r="I435" s="1">
        <v>450128</v>
      </c>
      <c r="J435" s="1" t="s">
        <v>493</v>
      </c>
    </row>
    <row r="436" spans="1:10">
      <c r="A436" t="str">
        <f>VLOOKUP(LEFT(B436,4),name,2,FALSE)</f>
        <v>变动制造费用-差数</v>
      </c>
      <c r="B436" t="s">
        <v>56</v>
      </c>
      <c r="C436" t="str">
        <f>VLOOKUP(D436,name,2,FALSE)</f>
        <v>制造费用-文具用品</v>
      </c>
      <c r="D436">
        <v>450103</v>
      </c>
      <c r="E436">
        <v>1</v>
      </c>
      <c r="I436" s="1">
        <v>450131</v>
      </c>
      <c r="J436" s="1" t="s">
        <v>494</v>
      </c>
    </row>
    <row r="437" spans="1:10">
      <c r="A437" t="str">
        <f>VLOOKUP(LEFT(B437,4),name,2,FALSE)</f>
        <v>变动制造费用-差数</v>
      </c>
      <c r="B437" t="s">
        <v>56</v>
      </c>
      <c r="C437" t="str">
        <f>VLOOKUP(D437,name,2,FALSE)</f>
        <v>制造费用-旅费</v>
      </c>
      <c r="D437">
        <v>450104</v>
      </c>
      <c r="E437">
        <v>1</v>
      </c>
      <c r="I437" s="1">
        <v>450132</v>
      </c>
      <c r="J437" s="1" t="s">
        <v>495</v>
      </c>
    </row>
    <row r="438" spans="1:10">
      <c r="A438" t="str">
        <f>VLOOKUP(LEFT(B438,4),name,2,FALSE)</f>
        <v>变动制造费用-差数</v>
      </c>
      <c r="B438" t="s">
        <v>56</v>
      </c>
      <c r="C438" t="str">
        <f>VLOOKUP(D438,name,2,FALSE)</f>
        <v>制造费用-运费</v>
      </c>
      <c r="D438">
        <v>450105</v>
      </c>
      <c r="E438">
        <v>1</v>
      </c>
      <c r="I438" s="1">
        <v>450133</v>
      </c>
      <c r="J438" s="1" t="s">
        <v>496</v>
      </c>
    </row>
    <row r="439" spans="1:10">
      <c r="A439" t="str">
        <f>VLOOKUP(LEFT(B439,4),name,2,FALSE)</f>
        <v>变动制造费用-差数</v>
      </c>
      <c r="B439" t="s">
        <v>56</v>
      </c>
      <c r="C439" t="str">
        <f>VLOOKUP(D439,name,2,FALSE)</f>
        <v>制造费用-邮电费</v>
      </c>
      <c r="D439">
        <v>450106</v>
      </c>
      <c r="E439">
        <v>1</v>
      </c>
      <c r="I439" s="1">
        <v>450134</v>
      </c>
      <c r="J439" s="1" t="s">
        <v>497</v>
      </c>
    </row>
    <row r="440" spans="1:10">
      <c r="A440" t="str">
        <f>VLOOKUP(LEFT(B440,4),name,2,FALSE)</f>
        <v>变动制造费用-差数</v>
      </c>
      <c r="B440" t="s">
        <v>56</v>
      </c>
      <c r="C440" t="str">
        <f>VLOOKUP(D440,name,2,FALSE)</f>
        <v>制造费用-修缮费</v>
      </c>
      <c r="D440">
        <v>450107</v>
      </c>
      <c r="E440">
        <v>1</v>
      </c>
      <c r="I440" s="1">
        <v>450188</v>
      </c>
      <c r="J440" s="1" t="s">
        <v>498</v>
      </c>
    </row>
    <row r="441" spans="1:10">
      <c r="A441" t="str">
        <f>VLOOKUP(LEFT(B441,4),name,2,FALSE)</f>
        <v>变动制造费用-差数</v>
      </c>
      <c r="B441" t="s">
        <v>56</v>
      </c>
      <c r="C441" t="str">
        <f>VLOOKUP(D441,name,2,FALSE)</f>
        <v>制造费用-广告费</v>
      </c>
      <c r="D441">
        <v>450108</v>
      </c>
      <c r="E441">
        <v>1</v>
      </c>
      <c r="I441" s="1" t="s">
        <v>51</v>
      </c>
      <c r="J441" s="1" t="s">
        <v>499</v>
      </c>
    </row>
    <row r="442" spans="1:10">
      <c r="A442" t="str">
        <f>VLOOKUP(LEFT(B442,4),name,2,FALSE)</f>
        <v>变动制造费用-差数</v>
      </c>
      <c r="B442" t="s">
        <v>56</v>
      </c>
      <c r="C442" t="str">
        <f>VLOOKUP(D442,name,2,FALSE)</f>
        <v>制造费用-保险费</v>
      </c>
      <c r="D442">
        <v>450110</v>
      </c>
      <c r="E442">
        <v>1</v>
      </c>
      <c r="I442" s="1" t="s">
        <v>52</v>
      </c>
      <c r="J442" s="1" t="s">
        <v>500</v>
      </c>
    </row>
    <row r="443" spans="1:10">
      <c r="A443" t="str">
        <f>VLOOKUP(LEFT(B443,4),name,2,FALSE)</f>
        <v>变动制造费用-差数</v>
      </c>
      <c r="B443" t="s">
        <v>56</v>
      </c>
      <c r="C443" t="str">
        <f>VLOOKUP(D443,name,2,FALSE)</f>
        <v>制造费用-交际费</v>
      </c>
      <c r="D443">
        <v>450111</v>
      </c>
      <c r="E443">
        <v>1</v>
      </c>
      <c r="I443" s="1">
        <v>450102</v>
      </c>
      <c r="J443" s="1" t="s">
        <v>501</v>
      </c>
    </row>
    <row r="444" spans="1:10">
      <c r="A444" t="str">
        <f>VLOOKUP(LEFT(B444,4),name,2,FALSE)</f>
        <v>变动制造费用-差数</v>
      </c>
      <c r="B444" t="s">
        <v>56</v>
      </c>
      <c r="C444" t="str">
        <f>VLOOKUP(D444,name,2,FALSE)</f>
        <v>制造费用-捐赠</v>
      </c>
      <c r="D444">
        <v>450112</v>
      </c>
      <c r="E444">
        <v>1</v>
      </c>
      <c r="I444" s="1">
        <v>450109</v>
      </c>
      <c r="J444" s="1" t="s">
        <v>502</v>
      </c>
    </row>
    <row r="445" spans="1:10">
      <c r="A445" t="str">
        <f>VLOOKUP(LEFT(B445,4),name,2,FALSE)</f>
        <v>变动制造费用-差数</v>
      </c>
      <c r="B445" t="s">
        <v>56</v>
      </c>
      <c r="C445" t="str">
        <f>VLOOKUP(D445,name,2,FALSE)</f>
        <v>制造费用-税捐</v>
      </c>
      <c r="D445">
        <v>450113</v>
      </c>
      <c r="E445">
        <v>1</v>
      </c>
      <c r="I445" s="1">
        <v>45010901</v>
      </c>
      <c r="J445" s="1" t="s">
        <v>503</v>
      </c>
    </row>
    <row r="446" spans="1:10">
      <c r="A446" t="str">
        <f>VLOOKUP(LEFT(B446,4),name,2,FALSE)</f>
        <v>变动制造费用-差数</v>
      </c>
      <c r="B446" t="s">
        <v>56</v>
      </c>
      <c r="C446" t="str">
        <f>VLOOKUP(D446,name,2,FALSE)</f>
        <v>制造费用-呆帐损失</v>
      </c>
      <c r="D446">
        <v>450114</v>
      </c>
      <c r="E446">
        <v>1</v>
      </c>
      <c r="I446" s="1">
        <v>45010902</v>
      </c>
      <c r="J446" s="1" t="s">
        <v>504</v>
      </c>
    </row>
    <row r="447" spans="1:10">
      <c r="A447" t="str">
        <f>VLOOKUP(LEFT(B447,4),name,2,FALSE)</f>
        <v>变动制造费用-差数</v>
      </c>
      <c r="B447" t="s">
        <v>56</v>
      </c>
      <c r="C447" t="str">
        <f>VLOOKUP(D447,name,2,FALSE)</f>
        <v>制造费用-伙食费</v>
      </c>
      <c r="D447">
        <v>450117</v>
      </c>
      <c r="E447">
        <v>1</v>
      </c>
      <c r="I447" s="1">
        <v>45010903</v>
      </c>
      <c r="J447" s="1" t="s">
        <v>505</v>
      </c>
    </row>
    <row r="448" spans="1:10">
      <c r="A448" t="str">
        <f>VLOOKUP(LEFT(B448,4),name,2,FALSE)</f>
        <v>变动制造费用-差数</v>
      </c>
      <c r="B448" t="s">
        <v>56</v>
      </c>
      <c r="C448" t="str">
        <f>VLOOKUP(D448,name,2,FALSE)</f>
        <v>制造费用-职工褔利</v>
      </c>
      <c r="D448">
        <v>450118</v>
      </c>
      <c r="E448">
        <v>1</v>
      </c>
      <c r="I448" s="1">
        <v>450115</v>
      </c>
      <c r="J448" s="1" t="s">
        <v>506</v>
      </c>
    </row>
    <row r="449" spans="1:10">
      <c r="A449" t="str">
        <f>VLOOKUP(LEFT(B449,4),name,2,FALSE)</f>
        <v>变动制造费用-差数</v>
      </c>
      <c r="B449" t="s">
        <v>56</v>
      </c>
      <c r="C449" t="str">
        <f>VLOOKUP(D449,name,2,FALSE)</f>
        <v>制造费用-委托研究费</v>
      </c>
      <c r="D449">
        <v>450119</v>
      </c>
      <c r="E449">
        <v>1</v>
      </c>
      <c r="I449" s="1">
        <v>450116</v>
      </c>
      <c r="J449" s="1" t="s">
        <v>507</v>
      </c>
    </row>
    <row r="450" spans="1:10">
      <c r="A450" t="str">
        <f>VLOOKUP(LEFT(B450,4),name,2,FALSE)</f>
        <v>变动制造费用-差数</v>
      </c>
      <c r="B450" t="s">
        <v>56</v>
      </c>
      <c r="C450" t="str">
        <f>VLOOKUP(D450,name,2,FALSE)</f>
        <v>制造费用-佣金支出</v>
      </c>
      <c r="D450">
        <v>450120</v>
      </c>
      <c r="E450">
        <v>1</v>
      </c>
      <c r="I450" s="1">
        <v>45011601</v>
      </c>
      <c r="J450" s="1" t="s">
        <v>508</v>
      </c>
    </row>
    <row r="451" spans="1:10">
      <c r="A451" t="str">
        <f>VLOOKUP(LEFT(B451,4),name,2,FALSE)</f>
        <v>变动制造费用-差数</v>
      </c>
      <c r="B451" t="s">
        <v>56</v>
      </c>
      <c r="C451" t="str">
        <f>VLOOKUP(D451,name,2,FALSE)</f>
        <v>制造费用-训练费</v>
      </c>
      <c r="D451">
        <v>450121</v>
      </c>
      <c r="E451">
        <v>1</v>
      </c>
      <c r="I451" s="1">
        <v>45011602</v>
      </c>
      <c r="J451" s="1" t="s">
        <v>509</v>
      </c>
    </row>
    <row r="452" spans="1:10">
      <c r="A452" t="str">
        <f>VLOOKUP(LEFT(B452,4),name,2,FALSE)</f>
        <v>变动制造费用-差数</v>
      </c>
      <c r="B452" t="s">
        <v>56</v>
      </c>
      <c r="C452" t="str">
        <f>VLOOKUP(D452,name,2,FALSE)</f>
        <v>制造费用-进出口费用</v>
      </c>
      <c r="D452">
        <v>450122</v>
      </c>
      <c r="E452">
        <v>1</v>
      </c>
      <c r="I452" s="1">
        <v>45011603</v>
      </c>
      <c r="J452" s="1" t="s">
        <v>510</v>
      </c>
    </row>
    <row r="453" spans="1:10">
      <c r="A453" t="str">
        <f>VLOOKUP(LEFT(B453,4),name,2,FALSE)</f>
        <v>变动制造费用-差数</v>
      </c>
      <c r="B453" t="s">
        <v>56</v>
      </c>
      <c r="C453" t="str">
        <f>VLOOKUP(D453,name,2,FALSE)</f>
        <v>制造费用-保全费</v>
      </c>
      <c r="D453">
        <v>450123</v>
      </c>
      <c r="E453">
        <v>1</v>
      </c>
      <c r="I453" s="1">
        <v>450130</v>
      </c>
      <c r="J453" s="1" t="s">
        <v>511</v>
      </c>
    </row>
    <row r="454" spans="1:10">
      <c r="A454" t="str">
        <f>VLOOKUP(LEFT(B454,4),name,2,FALSE)</f>
        <v>变动制造费用-差数</v>
      </c>
      <c r="B454" t="s">
        <v>56</v>
      </c>
      <c r="C454" t="str">
        <f>VLOOKUP(D454,name,2,FALSE)</f>
        <v>制造费用-劳务费</v>
      </c>
      <c r="D454">
        <v>450124</v>
      </c>
      <c r="E454">
        <v>1</v>
      </c>
      <c r="I454" s="1">
        <v>450199</v>
      </c>
      <c r="J454" s="1" t="s">
        <v>512</v>
      </c>
    </row>
    <row r="455" spans="1:10">
      <c r="A455" t="str">
        <f>VLOOKUP(LEFT(B455,4),name,2,FALSE)</f>
        <v>变动制造费用-差数</v>
      </c>
      <c r="B455" t="s">
        <v>56</v>
      </c>
      <c r="C455" t="str">
        <f>VLOOKUP(D455,name,2,FALSE)</f>
        <v>制造费用-物料费</v>
      </c>
      <c r="D455">
        <v>450125</v>
      </c>
      <c r="E455">
        <v>1</v>
      </c>
      <c r="I455" s="1">
        <v>45019901</v>
      </c>
      <c r="J455" s="1" t="s">
        <v>513</v>
      </c>
    </row>
    <row r="456" spans="1:10">
      <c r="A456" t="str">
        <f>VLOOKUP(LEFT(B456,4),name,2,FALSE)</f>
        <v>变动制造费用-差数</v>
      </c>
      <c r="B456" t="s">
        <v>56</v>
      </c>
      <c r="C456" t="str">
        <f>VLOOKUP(D456,name,2,FALSE)</f>
        <v>制造费用-燃料费</v>
      </c>
      <c r="D456">
        <v>450126</v>
      </c>
      <c r="E456">
        <v>1</v>
      </c>
      <c r="I456" s="1">
        <v>45019902</v>
      </c>
      <c r="J456" s="1" t="s">
        <v>514</v>
      </c>
    </row>
    <row r="457" spans="1:10">
      <c r="A457" t="str">
        <f>VLOOKUP(LEFT(B457,4),name,2,FALSE)</f>
        <v>变动制造费用-差数</v>
      </c>
      <c r="B457" t="s">
        <v>56</v>
      </c>
      <c r="C457" t="str">
        <f>VLOOKUP(D457,name,2,FALSE)</f>
        <v>制造费用-网络服务费用</v>
      </c>
      <c r="D457">
        <v>450127</v>
      </c>
      <c r="E457">
        <v>1</v>
      </c>
      <c r="I457" s="1">
        <v>45019903</v>
      </c>
      <c r="J457" s="1" t="s">
        <v>515</v>
      </c>
    </row>
    <row r="458" spans="1:10">
      <c r="A458" t="str">
        <f>VLOOKUP(LEFT(B458,4),name,2,FALSE)</f>
        <v>变动制造费用-差数</v>
      </c>
      <c r="B458" t="s">
        <v>56</v>
      </c>
      <c r="C458" t="str">
        <f>VLOOKUP(D458,name,2,FALSE)</f>
        <v>制造费用-劳动保护费</v>
      </c>
      <c r="D458">
        <v>450128</v>
      </c>
      <c r="E458">
        <v>1</v>
      </c>
      <c r="I458" s="1">
        <v>45019904</v>
      </c>
      <c r="J458" s="1" t="s">
        <v>516</v>
      </c>
    </row>
    <row r="459" spans="1:10">
      <c r="A459" t="str">
        <f>VLOOKUP(LEFT(B459,4),name,2,FALSE)</f>
        <v>变动制造费用-差数</v>
      </c>
      <c r="B459" t="s">
        <v>56</v>
      </c>
      <c r="C459" t="str">
        <f>VLOOKUP(D459,name,2,FALSE)</f>
        <v>制造费用-董事会费</v>
      </c>
      <c r="D459">
        <v>450131</v>
      </c>
      <c r="E459">
        <v>1</v>
      </c>
      <c r="I459" s="1">
        <v>45019905</v>
      </c>
      <c r="J459" s="1" t="s">
        <v>517</v>
      </c>
    </row>
    <row r="460" spans="1:10">
      <c r="A460" t="str">
        <f>VLOOKUP(LEFT(B460,4),name,2,FALSE)</f>
        <v>变动制造费用-差数</v>
      </c>
      <c r="B460" t="s">
        <v>56</v>
      </c>
      <c r="C460" t="str">
        <f>VLOOKUP(D460,name,2,FALSE)</f>
        <v>制造费用-工会经费</v>
      </c>
      <c r="D460">
        <v>450132</v>
      </c>
      <c r="E460">
        <v>1</v>
      </c>
      <c r="I460" s="1">
        <v>45019911</v>
      </c>
      <c r="J460" s="1" t="s">
        <v>518</v>
      </c>
    </row>
    <row r="461" spans="1:10">
      <c r="A461" t="str">
        <f>VLOOKUP(LEFT(B461,4),name,2,FALSE)</f>
        <v>变动制造费用-差数</v>
      </c>
      <c r="B461" t="s">
        <v>56</v>
      </c>
      <c r="C461" t="str">
        <f>VLOOKUP(D461,name,2,FALSE)</f>
        <v>制造费用-展览费</v>
      </c>
      <c r="D461">
        <v>450133</v>
      </c>
      <c r="E461">
        <v>1</v>
      </c>
      <c r="I461" s="1">
        <v>45019912</v>
      </c>
      <c r="J461" s="1" t="s">
        <v>519</v>
      </c>
    </row>
    <row r="462" spans="1:10">
      <c r="A462" t="str">
        <f>VLOOKUP(LEFT(B462,4),name,2,FALSE)</f>
        <v>变动制造费用-差数</v>
      </c>
      <c r="B462" t="s">
        <v>56</v>
      </c>
      <c r="C462" t="str">
        <f>VLOOKUP(D462,name,2,FALSE)</f>
        <v>制造费用-汽车费用</v>
      </c>
      <c r="D462">
        <v>450134</v>
      </c>
      <c r="E462">
        <v>1</v>
      </c>
      <c r="I462" s="1">
        <v>45019913</v>
      </c>
      <c r="J462" s="1" t="s">
        <v>520</v>
      </c>
    </row>
    <row r="463" spans="1:10">
      <c r="A463" t="str">
        <f>VLOOKUP(LEFT(B463,4),name,2,FALSE)</f>
        <v>变动制造费用-差数</v>
      </c>
      <c r="B463" t="s">
        <v>56</v>
      </c>
      <c r="C463" t="str">
        <f>VLOOKUP(D463,name,2,FALSE)</f>
        <v>制造费用-其它费用</v>
      </c>
      <c r="D463">
        <v>450188</v>
      </c>
      <c r="E463">
        <v>1</v>
      </c>
      <c r="I463" s="1">
        <v>45019914</v>
      </c>
      <c r="J463" s="1" t="s">
        <v>521</v>
      </c>
    </row>
    <row r="464" spans="1:10">
      <c r="A464" t="str">
        <f>VLOOKUP(LEFT(B464,4),name,2,FALSE)</f>
        <v>变动制造费用-差数</v>
      </c>
      <c r="B464" t="s">
        <v>56</v>
      </c>
      <c r="C464" t="str">
        <f>VLOOKUP(D464,name,2,FALSE)</f>
        <v>制造费用-租金支出</v>
      </c>
      <c r="D464">
        <v>450102</v>
      </c>
      <c r="E464">
        <v>1</v>
      </c>
      <c r="I464" s="1">
        <v>45019915</v>
      </c>
      <c r="J464" s="1" t="s">
        <v>522</v>
      </c>
    </row>
    <row r="465" spans="1:10">
      <c r="A465" t="str">
        <f>VLOOKUP(LEFT(B465,4),name,2,FALSE)</f>
        <v>变动制造费用-差数</v>
      </c>
      <c r="B465" t="s">
        <v>56</v>
      </c>
      <c r="C465" t="str">
        <f>VLOOKUP(D465,name,2,FALSE)</f>
        <v>制造费用-水电瓦斯费</v>
      </c>
      <c r="D465">
        <v>450109</v>
      </c>
      <c r="E465">
        <v>1</v>
      </c>
      <c r="I465" s="1">
        <v>45019921</v>
      </c>
      <c r="J465" s="1" t="s">
        <v>523</v>
      </c>
    </row>
    <row r="466" spans="1:10">
      <c r="A466" t="str">
        <f>VLOOKUP(LEFT(B466,4),name,2,FALSE)</f>
        <v>变动制造费用-差数</v>
      </c>
      <c r="B466" t="s">
        <v>56</v>
      </c>
      <c r="C466" t="str">
        <f>VLOOKUP(D466,name,2,FALSE)</f>
        <v>制造费用-折旧</v>
      </c>
      <c r="D466">
        <v>450115</v>
      </c>
      <c r="E466">
        <v>1</v>
      </c>
      <c r="I466" s="1">
        <v>45019922</v>
      </c>
      <c r="J466" s="1" t="s">
        <v>524</v>
      </c>
    </row>
    <row r="467" spans="1:10">
      <c r="A467" t="str">
        <f>VLOOKUP(LEFT(B467,4),name,2,FALSE)</f>
        <v>变动制造费用-差数</v>
      </c>
      <c r="B467" t="s">
        <v>56</v>
      </c>
      <c r="C467" t="str">
        <f>VLOOKUP(D467,name,2,FALSE)</f>
        <v>制造费用-各项摊提</v>
      </c>
      <c r="D467">
        <v>450116</v>
      </c>
      <c r="E467">
        <v>1</v>
      </c>
      <c r="I467" s="1">
        <v>45019923</v>
      </c>
      <c r="J467" s="1" t="s">
        <v>525</v>
      </c>
    </row>
    <row r="468" spans="1:10">
      <c r="A468" t="str">
        <f>VLOOKUP(LEFT(B468,4),name,2,FALSE)</f>
        <v>变动制造费用-差数</v>
      </c>
      <c r="B468" t="s">
        <v>56</v>
      </c>
      <c r="C468" t="str">
        <f>VLOOKUP(D468,name,2,FALSE)</f>
        <v>制造费用-开模费</v>
      </c>
      <c r="D468">
        <v>450130</v>
      </c>
      <c r="E468">
        <v>1</v>
      </c>
      <c r="I468" s="1">
        <v>45019924</v>
      </c>
      <c r="J468" s="1" t="s">
        <v>526</v>
      </c>
    </row>
    <row r="469" spans="1:10">
      <c r="A469" t="str">
        <f>VLOOKUP(LEFT(B469,4),name,2,FALSE)</f>
        <v>变动制造费用-差数</v>
      </c>
      <c r="B469" t="s">
        <v>56</v>
      </c>
      <c r="C469" t="str">
        <f>VLOOKUP(D469,name,2,FALSE)</f>
        <v>制造费用-异状费</v>
      </c>
      <c r="D469">
        <v>450199</v>
      </c>
      <c r="E469">
        <v>1</v>
      </c>
      <c r="I469" s="1">
        <v>45019925</v>
      </c>
      <c r="J469" s="1" t="s">
        <v>527</v>
      </c>
    </row>
    <row r="470" spans="1:10">
      <c r="A470" t="str">
        <f>VLOOKUP(LEFT(B470,4),name,2,FALSE)</f>
        <v>变动制造费用-差数</v>
      </c>
      <c r="B470" t="s">
        <v>56</v>
      </c>
      <c r="C470" t="str">
        <f>VLOOKUP(D470,name,2,FALSE)</f>
        <v>制造费用-标准-变动制造费用</v>
      </c>
      <c r="D470">
        <v>45000103</v>
      </c>
      <c r="E470">
        <v>-1</v>
      </c>
      <c r="I470" s="1">
        <v>45019926</v>
      </c>
      <c r="J470" s="1" t="s">
        <v>528</v>
      </c>
    </row>
    <row r="471" spans="1:10">
      <c r="A471" t="str">
        <f>VLOOKUP(LEFT(B471,4),name,2,FALSE)</f>
        <v>变动制造费用-差数</v>
      </c>
      <c r="B471" t="s">
        <v>56</v>
      </c>
      <c r="C471" t="str">
        <f>VLOOKUP(D471,name,2,FALSE)</f>
        <v>制造费用-WIP-变动制造费用</v>
      </c>
      <c r="D471">
        <v>45000203</v>
      </c>
      <c r="E471">
        <v>-1</v>
      </c>
      <c r="I471" s="1">
        <v>45019927</v>
      </c>
      <c r="J471" s="1" t="s">
        <v>529</v>
      </c>
    </row>
    <row r="472" spans="1:10">
      <c r="A472" t="str">
        <f>VLOOKUP(LEFT(B472,4),name,2,FALSE)</f>
        <v>外加工损益</v>
      </c>
      <c r="B472" t="s">
        <v>57</v>
      </c>
      <c r="C472" t="str">
        <f>VLOOKUP(D472,name,2,FALSE)</f>
        <v>制造费用-标准-外加工费</v>
      </c>
      <c r="D472">
        <v>45000105</v>
      </c>
      <c r="E472">
        <v>1</v>
      </c>
      <c r="I472" s="1" t="s">
        <v>53</v>
      </c>
      <c r="J472" s="1" t="s">
        <v>530</v>
      </c>
    </row>
    <row r="473" spans="1:10">
      <c r="A473" t="str">
        <f>VLOOKUP(LEFT(B473,4),name,2,FALSE)</f>
        <v>外加工损益</v>
      </c>
      <c r="B473" t="s">
        <v>57</v>
      </c>
      <c r="C473" t="str">
        <f>VLOOKUP(D473,name,2,FALSE)</f>
        <v>制造费用-WIP-外加工费</v>
      </c>
      <c r="D473">
        <v>45000205</v>
      </c>
      <c r="E473">
        <v>1</v>
      </c>
      <c r="I473" s="1" t="s">
        <v>54</v>
      </c>
      <c r="J473" s="1" t="s">
        <v>531</v>
      </c>
    </row>
    <row r="474" spans="1:10">
      <c r="A474" t="str">
        <f>VLOOKUP(LEFT(B474,4),name,2,FALSE)</f>
        <v>外加工费-差数</v>
      </c>
      <c r="B474" t="s">
        <v>58</v>
      </c>
      <c r="C474" t="str">
        <f>VLOOKUP(D474,name,2,FALSE)</f>
        <v>制造费用-外加工费-结转</v>
      </c>
      <c r="D474">
        <v>45000304</v>
      </c>
      <c r="E474">
        <v>1</v>
      </c>
      <c r="I474" s="1" t="s">
        <v>55</v>
      </c>
      <c r="J474" s="1" t="s">
        <v>532</v>
      </c>
    </row>
    <row r="475" spans="1:10">
      <c r="A475" t="str">
        <f>VLOOKUP(LEFT(B475,4),name,2,FALSE)</f>
        <v>外加工费-差数</v>
      </c>
      <c r="B475" t="s">
        <v>58</v>
      </c>
      <c r="C475" t="str">
        <f>VLOOKUP(D475,name,2,FALSE)</f>
        <v>制造费用-标准-外加工费</v>
      </c>
      <c r="D475">
        <v>45000105</v>
      </c>
      <c r="E475">
        <v>-1</v>
      </c>
      <c r="I475" s="1" t="s">
        <v>56</v>
      </c>
      <c r="J475" s="1" t="s">
        <v>533</v>
      </c>
    </row>
    <row r="476" spans="1:10">
      <c r="A476" t="str">
        <f>VLOOKUP(LEFT(B476,4),name,2,FALSE)</f>
        <v>外加工费-差数</v>
      </c>
      <c r="B476" t="s">
        <v>58</v>
      </c>
      <c r="C476" t="str">
        <f>VLOOKUP(D476,name,2,FALSE)</f>
        <v>制造费用-WIP-外加工费</v>
      </c>
      <c r="D476">
        <v>45000205</v>
      </c>
      <c r="E476">
        <v>-1</v>
      </c>
      <c r="I476" s="1">
        <v>45000302</v>
      </c>
      <c r="J476" s="1" t="s">
        <v>534</v>
      </c>
    </row>
    <row r="477" spans="1:10">
      <c r="A477" t="str">
        <f>VLOOKUP(LEFT(B477,4),name,2,FALSE)</f>
        <v>总单位损益</v>
      </c>
      <c r="B477" t="s">
        <v>59</v>
      </c>
      <c r="C477" t="str">
        <f>VLOOKUP(D477,name,2,FALSE)</f>
        <v>制造费用-直接人工差异-结转</v>
      </c>
      <c r="D477">
        <v>45000301</v>
      </c>
      <c r="E477">
        <v>1</v>
      </c>
      <c r="I477" s="1">
        <v>45000105</v>
      </c>
      <c r="J477" s="1" t="s">
        <v>535</v>
      </c>
    </row>
    <row r="478" spans="1:10">
      <c r="A478" t="str">
        <f>VLOOKUP(LEFT(B478,4),name,2,FALSE)</f>
        <v>总单位损益</v>
      </c>
      <c r="B478" t="s">
        <v>59</v>
      </c>
      <c r="C478" t="str">
        <f>VLOOKUP(D478,name,2,FALSE)</f>
        <v>制造费用-变动制造费用差异-结转</v>
      </c>
      <c r="D478">
        <v>45000302</v>
      </c>
      <c r="E478">
        <v>1</v>
      </c>
      <c r="I478" s="1">
        <v>45000205</v>
      </c>
      <c r="J478" s="1" t="s">
        <v>536</v>
      </c>
    </row>
    <row r="479" spans="1:10">
      <c r="A479" t="str">
        <f>VLOOKUP(LEFT(B479,4),name,2,FALSE)</f>
        <v>总单位损益</v>
      </c>
      <c r="B479" t="s">
        <v>59</v>
      </c>
      <c r="C479" t="str">
        <f>VLOOKUP(D479,name,2,FALSE)</f>
        <v>制造费用-外加工费-结转</v>
      </c>
      <c r="D479">
        <v>45000304</v>
      </c>
      <c r="E479">
        <v>1</v>
      </c>
      <c r="I479" s="1" t="s">
        <v>57</v>
      </c>
      <c r="J479" s="1" t="s">
        <v>537</v>
      </c>
    </row>
    <row r="480" spans="1:10">
      <c r="A480" t="str">
        <f>VLOOKUP(LEFT(B480,4),name,2,FALSE)</f>
        <v>实际单位损益</v>
      </c>
      <c r="B480" t="s">
        <v>60</v>
      </c>
      <c r="C480" t="str">
        <f>VLOOKUP(D480,name,2,FALSE)</f>
        <v>制造费用-标准-直接人工</v>
      </c>
      <c r="D480">
        <v>45000102</v>
      </c>
      <c r="E480">
        <v>1</v>
      </c>
      <c r="I480" s="1" t="s">
        <v>58</v>
      </c>
      <c r="J480" s="1" t="s">
        <v>538</v>
      </c>
    </row>
    <row r="481" spans="1:10">
      <c r="A481" t="str">
        <f>VLOOKUP(LEFT(B481,4),name,2,FALSE)</f>
        <v>实际单位损益</v>
      </c>
      <c r="B481" t="s">
        <v>60</v>
      </c>
      <c r="C481" t="str">
        <f>VLOOKUP(D481,name,2,FALSE)</f>
        <v>制造费用-WIP-直接人工</v>
      </c>
      <c r="D481">
        <v>45000202</v>
      </c>
      <c r="E481">
        <v>1</v>
      </c>
      <c r="I481" s="1">
        <v>45000304</v>
      </c>
      <c r="J481" s="1" t="s">
        <v>539</v>
      </c>
    </row>
    <row r="482" spans="1:10">
      <c r="A482" t="str">
        <f>VLOOKUP(LEFT(B482,4),name,2,FALSE)</f>
        <v>实际单位损益</v>
      </c>
      <c r="B482" t="s">
        <v>60</v>
      </c>
      <c r="C482" t="str">
        <f>VLOOKUP(D482,name,2,FALSE)</f>
        <v>制造费用-标准-变动制造费用</v>
      </c>
      <c r="D482">
        <v>45000103</v>
      </c>
      <c r="E482">
        <v>1</v>
      </c>
      <c r="I482" s="1" t="s">
        <v>59</v>
      </c>
      <c r="J482" s="1" t="s">
        <v>540</v>
      </c>
    </row>
    <row r="483" spans="1:10">
      <c r="A483" t="str">
        <f>VLOOKUP(LEFT(B483,4),name,2,FALSE)</f>
        <v>实际单位损益</v>
      </c>
      <c r="B483" t="s">
        <v>60</v>
      </c>
      <c r="C483" t="str">
        <f>VLOOKUP(D483,name,2,FALSE)</f>
        <v>制造费用-WIP-变动制造费用</v>
      </c>
      <c r="D483">
        <v>45000203</v>
      </c>
      <c r="E483">
        <v>1</v>
      </c>
      <c r="I483" s="1" t="s">
        <v>60</v>
      </c>
      <c r="J483" s="1" t="s">
        <v>541</v>
      </c>
    </row>
    <row r="484" spans="1:10">
      <c r="A484" t="str">
        <f>VLOOKUP(LEFT(B484,4),name,2,FALSE)</f>
        <v>实际单位损益</v>
      </c>
      <c r="B484" t="s">
        <v>60</v>
      </c>
      <c r="C484" t="str">
        <f>VLOOKUP(D484,name,2,FALSE)</f>
        <v>制造费用-标准-外加工费</v>
      </c>
      <c r="D484">
        <v>45000105</v>
      </c>
      <c r="E484">
        <v>1</v>
      </c>
      <c r="I484" s="1" t="s">
        <v>0</v>
      </c>
      <c r="J484" s="1" t="s">
        <v>61</v>
      </c>
    </row>
    <row r="485" spans="1:10">
      <c r="A485" t="str">
        <f>VLOOKUP(LEFT(B485,4),name,2,FALSE)</f>
        <v>实际单位损益</v>
      </c>
      <c r="B485" t="s">
        <v>60</v>
      </c>
      <c r="C485" t="str">
        <f>VLOOKUP(D485,name,2,FALSE)</f>
        <v>制造费用-WIP-外加工费</v>
      </c>
      <c r="D485">
        <v>45000205</v>
      </c>
      <c r="E485">
        <v>1</v>
      </c>
      <c r="I485" s="1">
        <v>5101</v>
      </c>
      <c r="J485" s="1" t="s">
        <v>62</v>
      </c>
    </row>
    <row r="486" spans="1:10">
      <c r="A486" t="str">
        <f>VLOOKUP(LEFT(B486,4),name,2,FALSE)</f>
        <v>实际单位损益</v>
      </c>
      <c r="B486" t="s">
        <v>60</v>
      </c>
      <c r="C486" t="str">
        <f>VLOOKUP(D486,name,2,FALSE)</f>
        <v>实际扫描-间接人工收入</v>
      </c>
      <c r="D486">
        <v>8999011101</v>
      </c>
      <c r="E486">
        <v>1</v>
      </c>
      <c r="I486" s="1">
        <v>510101</v>
      </c>
      <c r="J486" s="1" t="s">
        <v>63</v>
      </c>
    </row>
    <row r="487" spans="1:10">
      <c r="A487" t="str">
        <f>VLOOKUP(LEFT(B487,4),name,2,FALSE)</f>
        <v>实际单位损益</v>
      </c>
      <c r="B487" t="s">
        <v>60</v>
      </c>
      <c r="C487" t="str">
        <f>VLOOKUP(D487,name,2,FALSE)</f>
        <v>制造费用-薪资支出</v>
      </c>
      <c r="D487">
        <v>450101</v>
      </c>
      <c r="E487">
        <v>-1</v>
      </c>
      <c r="I487" s="1">
        <v>510102</v>
      </c>
      <c r="J487" s="1" t="s">
        <v>64</v>
      </c>
    </row>
    <row r="488" spans="1:10">
      <c r="A488" t="str">
        <f>VLOOKUP(LEFT(B488,4),name,2,FALSE)</f>
        <v>实际单位损益</v>
      </c>
      <c r="B488" t="s">
        <v>60</v>
      </c>
      <c r="C488" t="str">
        <f>VLOOKUP(D488,name,2,FALSE)</f>
        <v>制造费用-文具用品</v>
      </c>
      <c r="D488">
        <v>450103</v>
      </c>
      <c r="E488">
        <v>-1</v>
      </c>
      <c r="I488" s="1">
        <v>510103</v>
      </c>
      <c r="J488" s="1" t="s">
        <v>65</v>
      </c>
    </row>
    <row r="489" spans="1:10">
      <c r="A489" t="str">
        <f>VLOOKUP(LEFT(B489,4),name,2,FALSE)</f>
        <v>实际单位损益</v>
      </c>
      <c r="B489" t="s">
        <v>60</v>
      </c>
      <c r="C489" t="str">
        <f>VLOOKUP(D489,name,2,FALSE)</f>
        <v>制造费用-旅费</v>
      </c>
      <c r="D489">
        <v>450104</v>
      </c>
      <c r="E489">
        <v>-1</v>
      </c>
      <c r="I489" s="1">
        <v>51010301</v>
      </c>
      <c r="J489" s="1" t="s">
        <v>66</v>
      </c>
    </row>
    <row r="490" spans="1:10">
      <c r="A490" t="str">
        <f>VLOOKUP(LEFT(B490,4),name,2,FALSE)</f>
        <v>实际单位损益</v>
      </c>
      <c r="B490" t="s">
        <v>60</v>
      </c>
      <c r="C490" t="str">
        <f>VLOOKUP(D490,name,2,FALSE)</f>
        <v>制造费用-运费</v>
      </c>
      <c r="D490">
        <v>450105</v>
      </c>
      <c r="E490">
        <v>-1</v>
      </c>
      <c r="I490" s="1">
        <v>51010302</v>
      </c>
      <c r="J490" s="1" t="s">
        <v>67</v>
      </c>
    </row>
    <row r="491" spans="1:10">
      <c r="A491" t="str">
        <f>VLOOKUP(LEFT(B491,4),name,2,FALSE)</f>
        <v>实际单位损益</v>
      </c>
      <c r="B491" t="s">
        <v>60</v>
      </c>
      <c r="C491" t="str">
        <f>VLOOKUP(D491,name,2,FALSE)</f>
        <v>制造费用-邮电费</v>
      </c>
      <c r="D491">
        <v>450106</v>
      </c>
      <c r="E491">
        <v>-1</v>
      </c>
      <c r="I491" s="1">
        <v>51010303</v>
      </c>
      <c r="J491" s="1" t="s">
        <v>68</v>
      </c>
    </row>
    <row r="492" spans="1:10">
      <c r="A492" t="str">
        <f>VLOOKUP(LEFT(B492,4),name,2,FALSE)</f>
        <v>实际单位损益</v>
      </c>
      <c r="B492" t="s">
        <v>60</v>
      </c>
      <c r="C492" t="str">
        <f>VLOOKUP(D492,name,2,FALSE)</f>
        <v>制造费用-修缮费</v>
      </c>
      <c r="D492">
        <v>450107</v>
      </c>
      <c r="E492">
        <v>-1</v>
      </c>
      <c r="I492" s="1">
        <v>51010304</v>
      </c>
      <c r="J492" s="1" t="s">
        <v>69</v>
      </c>
    </row>
    <row r="493" spans="1:10">
      <c r="A493" t="str">
        <f>VLOOKUP(LEFT(B493,4),name,2,FALSE)</f>
        <v>实际单位损益</v>
      </c>
      <c r="B493" t="s">
        <v>60</v>
      </c>
      <c r="C493" t="str">
        <f>VLOOKUP(D493,name,2,FALSE)</f>
        <v>制造费用-广告费</v>
      </c>
      <c r="D493">
        <v>450108</v>
      </c>
      <c r="E493">
        <v>-1</v>
      </c>
      <c r="I493" s="1">
        <v>51010305</v>
      </c>
      <c r="J493" s="1" t="s">
        <v>70</v>
      </c>
    </row>
    <row r="494" spans="1:10">
      <c r="A494" t="str">
        <f>VLOOKUP(LEFT(B494,4),name,2,FALSE)</f>
        <v>实际单位损益</v>
      </c>
      <c r="B494" t="s">
        <v>60</v>
      </c>
      <c r="C494" t="str">
        <f>VLOOKUP(D494,name,2,FALSE)</f>
        <v>制造费用-保险费</v>
      </c>
      <c r="D494">
        <v>450110</v>
      </c>
      <c r="E494">
        <v>-1</v>
      </c>
      <c r="I494" s="1">
        <v>510109</v>
      </c>
      <c r="J494" s="1" t="s">
        <v>71</v>
      </c>
    </row>
    <row r="495" spans="1:10">
      <c r="A495" t="str">
        <f>VLOOKUP(LEFT(B495,4),name,2,FALSE)</f>
        <v>实际单位损益</v>
      </c>
      <c r="B495" t="s">
        <v>60</v>
      </c>
      <c r="C495" t="str">
        <f>VLOOKUP(D495,name,2,FALSE)</f>
        <v>制造费用-交际费</v>
      </c>
      <c r="D495">
        <v>450111</v>
      </c>
      <c r="E495">
        <v>-1</v>
      </c>
      <c r="I495" s="1">
        <v>5111</v>
      </c>
      <c r="J495" s="1" t="s">
        <v>72</v>
      </c>
    </row>
    <row r="496" spans="1:10">
      <c r="A496" t="str">
        <f>VLOOKUP(LEFT(B496,4),name,2,FALSE)</f>
        <v>实际单位损益</v>
      </c>
      <c r="B496" t="s">
        <v>60</v>
      </c>
      <c r="C496" t="str">
        <f>VLOOKUP(D496,name,2,FALSE)</f>
        <v>制造费用-捐赠</v>
      </c>
      <c r="D496">
        <v>450112</v>
      </c>
      <c r="E496">
        <v>-1</v>
      </c>
      <c r="I496" s="1">
        <v>511102</v>
      </c>
      <c r="J496" s="1" t="s">
        <v>73</v>
      </c>
    </row>
    <row r="497" spans="1:10">
      <c r="A497" t="str">
        <f>VLOOKUP(LEFT(B497,4),name,2,FALSE)</f>
        <v>实际单位损益</v>
      </c>
      <c r="B497" t="s">
        <v>60</v>
      </c>
      <c r="C497" t="str">
        <f>VLOOKUP(D497,name,2,FALSE)</f>
        <v>制造费用-税捐</v>
      </c>
      <c r="D497">
        <v>450113</v>
      </c>
      <c r="E497">
        <v>-1</v>
      </c>
      <c r="I497" s="1">
        <v>511103</v>
      </c>
      <c r="J497" s="1" t="s">
        <v>74</v>
      </c>
    </row>
    <row r="498" spans="1:10">
      <c r="A498" t="str">
        <f>VLOOKUP(LEFT(B498,4),name,2,FALSE)</f>
        <v>实际单位损益</v>
      </c>
      <c r="B498" t="s">
        <v>60</v>
      </c>
      <c r="C498" t="str">
        <f>VLOOKUP(D498,name,2,FALSE)</f>
        <v>制造费用-呆帐损失</v>
      </c>
      <c r="D498">
        <v>450114</v>
      </c>
      <c r="E498">
        <v>-1</v>
      </c>
      <c r="I498" s="1">
        <v>511101</v>
      </c>
      <c r="J498" s="1" t="s">
        <v>75</v>
      </c>
    </row>
    <row r="499" spans="1:10">
      <c r="A499" t="str">
        <f>VLOOKUP(LEFT(B499,4),name,2,FALSE)</f>
        <v>实际单位损益</v>
      </c>
      <c r="B499" t="s">
        <v>60</v>
      </c>
      <c r="C499" t="str">
        <f>VLOOKUP(D499,name,2,FALSE)</f>
        <v>制造费用-伙食费</v>
      </c>
      <c r="D499">
        <v>450117</v>
      </c>
      <c r="E499">
        <v>-1</v>
      </c>
      <c r="I499" s="1">
        <v>51110301</v>
      </c>
      <c r="J499" s="1" t="s">
        <v>76</v>
      </c>
    </row>
    <row r="500" spans="1:10">
      <c r="A500" t="str">
        <f>VLOOKUP(LEFT(B500,4),name,2,FALSE)</f>
        <v>实际单位损益</v>
      </c>
      <c r="B500" t="s">
        <v>60</v>
      </c>
      <c r="C500" t="str">
        <f>VLOOKUP(D500,name,2,FALSE)</f>
        <v>制造费用-职工褔利</v>
      </c>
      <c r="D500">
        <v>450118</v>
      </c>
      <c r="E500">
        <v>-1</v>
      </c>
      <c r="I500" s="1">
        <v>51110302</v>
      </c>
      <c r="J500" s="1" t="s">
        <v>77</v>
      </c>
    </row>
    <row r="501" spans="1:10">
      <c r="A501" t="str">
        <f>VLOOKUP(LEFT(B501,4),name,2,FALSE)</f>
        <v>实际单位损益</v>
      </c>
      <c r="B501" t="s">
        <v>60</v>
      </c>
      <c r="C501" t="str">
        <f>VLOOKUP(D501,name,2,FALSE)</f>
        <v>制造费用-委托研究费</v>
      </c>
      <c r="D501">
        <v>450119</v>
      </c>
      <c r="E501">
        <v>-1</v>
      </c>
      <c r="I501" s="1">
        <v>51110303</v>
      </c>
      <c r="J501" s="1" t="s">
        <v>78</v>
      </c>
    </row>
    <row r="502" spans="1:10">
      <c r="A502" t="str">
        <f>VLOOKUP(LEFT(B502,4),name,2,FALSE)</f>
        <v>实际单位损益</v>
      </c>
      <c r="B502" t="s">
        <v>60</v>
      </c>
      <c r="C502" t="str">
        <f>VLOOKUP(D502,name,2,FALSE)</f>
        <v>制造费用-佣金支出</v>
      </c>
      <c r="D502">
        <v>450120</v>
      </c>
      <c r="E502">
        <v>-1</v>
      </c>
      <c r="I502" s="1">
        <v>51110304</v>
      </c>
      <c r="J502" s="1" t="s">
        <v>79</v>
      </c>
    </row>
    <row r="503" spans="1:10">
      <c r="A503" t="str">
        <f>VLOOKUP(LEFT(B503,4),name,2,FALSE)</f>
        <v>实际单位损益</v>
      </c>
      <c r="B503" t="s">
        <v>60</v>
      </c>
      <c r="C503" t="str">
        <f>VLOOKUP(D503,name,2,FALSE)</f>
        <v>制造费用-训练费</v>
      </c>
      <c r="D503">
        <v>450121</v>
      </c>
      <c r="E503">
        <v>-1</v>
      </c>
      <c r="I503" s="1">
        <v>51110305</v>
      </c>
      <c r="J503" s="1" t="s">
        <v>80</v>
      </c>
    </row>
    <row r="504" spans="1:10">
      <c r="A504" t="str">
        <f>VLOOKUP(LEFT(B504,4),name,2,FALSE)</f>
        <v>实际单位损益</v>
      </c>
      <c r="B504" t="s">
        <v>60</v>
      </c>
      <c r="C504" t="str">
        <f>VLOOKUP(D504,name,2,FALSE)</f>
        <v>制造费用-进出口费用</v>
      </c>
      <c r="D504">
        <v>450122</v>
      </c>
      <c r="E504">
        <v>-1</v>
      </c>
      <c r="I504" s="1">
        <v>5121</v>
      </c>
      <c r="J504" s="1" t="s">
        <v>81</v>
      </c>
    </row>
    <row r="505" spans="1:10">
      <c r="A505" t="str">
        <f>VLOOKUP(LEFT(B505,4),name,2,FALSE)</f>
        <v>实际单位损益</v>
      </c>
      <c r="B505" t="s">
        <v>60</v>
      </c>
      <c r="C505" t="str">
        <f>VLOOKUP(D505,name,2,FALSE)</f>
        <v>制造费用-保全费</v>
      </c>
      <c r="D505">
        <v>450123</v>
      </c>
      <c r="E505">
        <v>-1</v>
      </c>
      <c r="I505" s="1">
        <v>512101</v>
      </c>
      <c r="J505" s="1" t="s">
        <v>82</v>
      </c>
    </row>
    <row r="506" spans="1:10">
      <c r="A506" t="str">
        <f>VLOOKUP(LEFT(B506,4),name,2,FALSE)</f>
        <v>实际单位损益</v>
      </c>
      <c r="B506" t="s">
        <v>60</v>
      </c>
      <c r="C506" t="str">
        <f>VLOOKUP(D506,name,2,FALSE)</f>
        <v>制造费用-劳务费</v>
      </c>
      <c r="D506">
        <v>450124</v>
      </c>
      <c r="E506">
        <v>-1</v>
      </c>
      <c r="I506" s="1">
        <v>512102</v>
      </c>
      <c r="J506" s="1" t="s">
        <v>83</v>
      </c>
    </row>
    <row r="507" spans="1:10">
      <c r="A507" t="str">
        <f>VLOOKUP(LEFT(B507,4),name,2,FALSE)</f>
        <v>实际单位损益</v>
      </c>
      <c r="B507" t="s">
        <v>60</v>
      </c>
      <c r="C507" t="str">
        <f>VLOOKUP(D507,name,2,FALSE)</f>
        <v>制造费用-物料费</v>
      </c>
      <c r="D507">
        <v>450125</v>
      </c>
      <c r="E507">
        <v>-1</v>
      </c>
      <c r="I507" s="1">
        <v>512103</v>
      </c>
      <c r="J507" s="1" t="s">
        <v>84</v>
      </c>
    </row>
    <row r="508" spans="1:10">
      <c r="A508" t="str">
        <f>VLOOKUP(LEFT(B508,4),name,2,FALSE)</f>
        <v>实际单位损益</v>
      </c>
      <c r="B508" t="s">
        <v>60</v>
      </c>
      <c r="C508" t="str">
        <f>VLOOKUP(D508,name,2,FALSE)</f>
        <v>制造费用-燃料费</v>
      </c>
      <c r="D508">
        <v>450126</v>
      </c>
      <c r="E508">
        <v>-1</v>
      </c>
      <c r="I508" s="1" t="s">
        <v>1</v>
      </c>
      <c r="J508" s="1" t="s">
        <v>85</v>
      </c>
    </row>
    <row r="509" spans="1:10">
      <c r="A509" t="str">
        <f>VLOOKUP(LEFT(B509,4),name,2,FALSE)</f>
        <v>实际单位损益</v>
      </c>
      <c r="B509" t="s">
        <v>60</v>
      </c>
      <c r="C509" t="str">
        <f>VLOOKUP(D509,name,2,FALSE)</f>
        <v>制造费用-网络服务费用</v>
      </c>
      <c r="D509">
        <v>450127</v>
      </c>
      <c r="E509">
        <v>-1</v>
      </c>
      <c r="I509" s="1">
        <v>4101</v>
      </c>
      <c r="J509" s="1" t="s">
        <v>86</v>
      </c>
    </row>
    <row r="510" spans="1:10">
      <c r="A510" t="str">
        <f>VLOOKUP(LEFT(B510,4),name,2,FALSE)</f>
        <v>实际单位损益</v>
      </c>
      <c r="B510" t="s">
        <v>60</v>
      </c>
      <c r="C510" t="str">
        <f>VLOOKUP(D510,name,2,FALSE)</f>
        <v>制造费用-劳动保护费</v>
      </c>
      <c r="D510">
        <v>450128</v>
      </c>
      <c r="E510">
        <v>-1</v>
      </c>
      <c r="I510" s="1">
        <v>410101</v>
      </c>
      <c r="J510" s="1" t="s">
        <v>87</v>
      </c>
    </row>
    <row r="511" spans="1:10">
      <c r="A511" t="str">
        <f>VLOOKUP(LEFT(B511,4),name,2,FALSE)</f>
        <v>实际单位损益</v>
      </c>
      <c r="B511" t="s">
        <v>60</v>
      </c>
      <c r="C511" t="str">
        <f>VLOOKUP(D511,name,2,FALSE)</f>
        <v>制造费用-董事会费</v>
      </c>
      <c r="D511">
        <v>450131</v>
      </c>
      <c r="E511">
        <v>-1</v>
      </c>
      <c r="I511" s="1">
        <v>410102</v>
      </c>
      <c r="J511" s="1" t="s">
        <v>88</v>
      </c>
    </row>
    <row r="512" spans="1:10">
      <c r="A512" t="str">
        <f>VLOOKUP(LEFT(B512,4),name,2,FALSE)</f>
        <v>实际单位损益</v>
      </c>
      <c r="B512" t="s">
        <v>60</v>
      </c>
      <c r="C512" t="str">
        <f>VLOOKUP(D512,name,2,FALSE)</f>
        <v>制造费用-工会经费</v>
      </c>
      <c r="D512">
        <v>450132</v>
      </c>
      <c r="E512">
        <v>-1</v>
      </c>
      <c r="I512" s="1">
        <v>410103</v>
      </c>
      <c r="J512" s="1" t="s">
        <v>89</v>
      </c>
    </row>
    <row r="513" spans="1:10">
      <c r="A513" t="str">
        <f>VLOOKUP(LEFT(B513,4),name,2,FALSE)</f>
        <v>实际单位损益</v>
      </c>
      <c r="B513" t="s">
        <v>60</v>
      </c>
      <c r="C513" t="str">
        <f>VLOOKUP(D513,name,2,FALSE)</f>
        <v>制造费用-展览费</v>
      </c>
      <c r="D513">
        <v>450133</v>
      </c>
      <c r="E513">
        <v>-1</v>
      </c>
      <c r="I513" s="1">
        <v>41010301</v>
      </c>
      <c r="J513" s="1" t="s">
        <v>90</v>
      </c>
    </row>
    <row r="514" spans="1:10">
      <c r="A514" t="str">
        <f>VLOOKUP(LEFT(B514,4),name,2,FALSE)</f>
        <v>实际单位损益</v>
      </c>
      <c r="B514" t="s">
        <v>60</v>
      </c>
      <c r="C514" t="str">
        <f>VLOOKUP(D514,name,2,FALSE)</f>
        <v>制造费用-汽车费用</v>
      </c>
      <c r="D514">
        <v>450134</v>
      </c>
      <c r="E514">
        <v>-1</v>
      </c>
      <c r="I514" s="1">
        <v>41010302</v>
      </c>
      <c r="J514" s="1" t="s">
        <v>91</v>
      </c>
    </row>
    <row r="515" spans="1:10">
      <c r="A515" t="str">
        <f>VLOOKUP(LEFT(B515,4),name,2,FALSE)</f>
        <v>实际单位损益</v>
      </c>
      <c r="B515" t="s">
        <v>60</v>
      </c>
      <c r="C515" t="str">
        <f>VLOOKUP(D515,name,2,FALSE)</f>
        <v>制造费用-其它费用</v>
      </c>
      <c r="D515">
        <v>450188</v>
      </c>
      <c r="E515">
        <v>-1</v>
      </c>
      <c r="I515" s="1">
        <v>41010303</v>
      </c>
      <c r="J515" s="1" t="s">
        <v>92</v>
      </c>
    </row>
    <row r="516" spans="1:10">
      <c r="A516" t="str">
        <f>VLOOKUP(LEFT(B516,4),name,2,FALSE)</f>
        <v>实际单位损益</v>
      </c>
      <c r="B516" t="s">
        <v>60</v>
      </c>
      <c r="C516" t="str">
        <f>VLOOKUP(D516,name,2,FALSE)</f>
        <v>制造费用-租金支出</v>
      </c>
      <c r="D516">
        <v>450102</v>
      </c>
      <c r="E516">
        <v>-1</v>
      </c>
      <c r="I516" s="1">
        <v>41010304</v>
      </c>
      <c r="J516" s="1" t="s">
        <v>93</v>
      </c>
    </row>
    <row r="517" spans="1:10">
      <c r="A517" t="str">
        <f>VLOOKUP(LEFT(B517,4),name,2,FALSE)</f>
        <v>实际单位损益</v>
      </c>
      <c r="B517" t="s">
        <v>60</v>
      </c>
      <c r="C517" t="str">
        <f>VLOOKUP(D517,name,2,FALSE)</f>
        <v>制造费用-水电瓦斯费</v>
      </c>
      <c r="D517">
        <v>450109</v>
      </c>
      <c r="E517">
        <v>-1</v>
      </c>
      <c r="I517" s="1">
        <v>41010305</v>
      </c>
      <c r="J517" s="1" t="s">
        <v>94</v>
      </c>
    </row>
    <row r="518" spans="1:10">
      <c r="A518" t="str">
        <f>VLOOKUP(LEFT(B518,4),name,2,FALSE)</f>
        <v>实际单位损益</v>
      </c>
      <c r="B518" t="s">
        <v>60</v>
      </c>
      <c r="C518" t="str">
        <f>VLOOKUP(D518,name,2,FALSE)</f>
        <v>制造费用-折旧</v>
      </c>
      <c r="D518">
        <v>450115</v>
      </c>
      <c r="E518">
        <v>-1</v>
      </c>
      <c r="I518" s="1">
        <v>410109</v>
      </c>
      <c r="J518" s="1" t="s">
        <v>95</v>
      </c>
    </row>
    <row r="519" spans="1:10">
      <c r="A519" t="str">
        <f>VLOOKUP(LEFT(B519,4),name,2,FALSE)</f>
        <v>实际单位损益</v>
      </c>
      <c r="B519" t="s">
        <v>60</v>
      </c>
      <c r="C519" t="str">
        <f>VLOOKUP(D519,name,2,FALSE)</f>
        <v>制造费用-各项摊提</v>
      </c>
      <c r="D519">
        <v>450116</v>
      </c>
      <c r="E519">
        <v>-1</v>
      </c>
      <c r="I519" s="1">
        <v>4111</v>
      </c>
      <c r="J519" s="1" t="s">
        <v>96</v>
      </c>
    </row>
    <row r="520" spans="1:10">
      <c r="A520" t="str">
        <f>VLOOKUP(LEFT(B520,4),name,2,FALSE)</f>
        <v>实际单位损益</v>
      </c>
      <c r="B520" t="s">
        <v>60</v>
      </c>
      <c r="C520" t="str">
        <f>VLOOKUP(D520,name,2,FALSE)</f>
        <v>制造费用-开模费</v>
      </c>
      <c r="D520">
        <v>450130</v>
      </c>
      <c r="E520">
        <v>-1</v>
      </c>
      <c r="I520" s="1">
        <v>411101</v>
      </c>
      <c r="J520" s="1" t="s">
        <v>97</v>
      </c>
    </row>
    <row r="521" spans="1:10">
      <c r="A521" t="str">
        <f>VLOOKUP(LEFT(B521,4),name,2,FALSE)</f>
        <v>实际单位损益</v>
      </c>
      <c r="B521" t="s">
        <v>60</v>
      </c>
      <c r="C521" t="str">
        <f>VLOOKUP(D521,name,2,FALSE)</f>
        <v>制造费用-异状费</v>
      </c>
      <c r="D521">
        <v>450199</v>
      </c>
      <c r="E521">
        <v>-1</v>
      </c>
      <c r="I521" s="1">
        <v>411102</v>
      </c>
      <c r="J521" s="1" t="s">
        <v>98</v>
      </c>
    </row>
    <row r="522" spans="1:10">
      <c r="I522" s="1">
        <v>411103</v>
      </c>
      <c r="J522" s="1" t="s">
        <v>99</v>
      </c>
    </row>
    <row r="523" spans="1:10">
      <c r="I523" s="1">
        <v>41110301</v>
      </c>
      <c r="J523" s="1" t="s">
        <v>100</v>
      </c>
    </row>
    <row r="524" spans="1:10">
      <c r="I524" s="1">
        <v>41110302</v>
      </c>
      <c r="J524" s="1" t="s">
        <v>101</v>
      </c>
    </row>
    <row r="525" spans="1:10">
      <c r="I525" s="1">
        <v>41110303</v>
      </c>
      <c r="J525" s="1" t="s">
        <v>100</v>
      </c>
    </row>
    <row r="526" spans="1:10">
      <c r="I526" s="1">
        <v>41110304</v>
      </c>
      <c r="J526" s="1" t="s">
        <v>102</v>
      </c>
    </row>
    <row r="527" spans="1:10">
      <c r="I527" s="1">
        <v>41110305</v>
      </c>
      <c r="J527" s="1" t="s">
        <v>103</v>
      </c>
    </row>
    <row r="528" spans="1:10">
      <c r="I528" s="1" t="s">
        <v>2</v>
      </c>
      <c r="J528" s="1" t="s">
        <v>104</v>
      </c>
    </row>
    <row r="529" spans="9:10">
      <c r="I529" s="1" t="s">
        <v>105</v>
      </c>
      <c r="J529" s="1" t="s">
        <v>106</v>
      </c>
    </row>
    <row r="530" spans="9:10">
      <c r="I530" s="1">
        <v>41019901</v>
      </c>
      <c r="J530" s="1" t="s">
        <v>107</v>
      </c>
    </row>
    <row r="531" spans="9:10">
      <c r="I531" s="1" t="s">
        <v>5</v>
      </c>
      <c r="J531" s="1" t="s">
        <v>108</v>
      </c>
    </row>
    <row r="532" spans="9:10">
      <c r="I532" s="1" t="s">
        <v>109</v>
      </c>
      <c r="J532" s="1" t="s">
        <v>110</v>
      </c>
    </row>
    <row r="533" spans="9:10">
      <c r="I533" s="1" t="s">
        <v>12</v>
      </c>
      <c r="J533" s="1" t="s">
        <v>111</v>
      </c>
    </row>
    <row r="534" spans="9:10">
      <c r="I534" s="1" t="s">
        <v>13</v>
      </c>
      <c r="J534" s="1" t="s">
        <v>112</v>
      </c>
    </row>
    <row r="535" spans="9:10">
      <c r="I535" s="1">
        <v>89990904</v>
      </c>
      <c r="J535" s="1" t="s">
        <v>113</v>
      </c>
    </row>
    <row r="536" spans="9:10">
      <c r="I536" s="1">
        <v>89990902</v>
      </c>
      <c r="J536" s="1" t="s">
        <v>20</v>
      </c>
    </row>
    <row r="537" spans="9:10">
      <c r="I537" s="1">
        <v>89990903</v>
      </c>
      <c r="J537" s="1" t="s">
        <v>114</v>
      </c>
    </row>
    <row r="538" spans="9:10">
      <c r="I538" s="1">
        <v>41019902</v>
      </c>
      <c r="J538" s="1" t="s">
        <v>115</v>
      </c>
    </row>
    <row r="539" spans="9:10">
      <c r="I539" s="1">
        <v>41019903</v>
      </c>
      <c r="J539" s="1" t="s">
        <v>116</v>
      </c>
    </row>
    <row r="540" spans="9:10">
      <c r="I540" s="1">
        <v>41019904</v>
      </c>
      <c r="J540" s="1" t="s">
        <v>117</v>
      </c>
    </row>
    <row r="541" spans="9:10">
      <c r="I541" s="1">
        <v>41019905</v>
      </c>
      <c r="J541" s="1" t="s">
        <v>118</v>
      </c>
    </row>
    <row r="542" spans="9:10">
      <c r="I542" s="1" t="s">
        <v>14</v>
      </c>
      <c r="J542" s="1" t="s">
        <v>119</v>
      </c>
    </row>
    <row r="543" spans="9:10">
      <c r="I543" s="1" t="s">
        <v>15</v>
      </c>
      <c r="J543" s="1" t="s">
        <v>120</v>
      </c>
    </row>
    <row r="544" spans="9:10">
      <c r="I544" s="1">
        <v>5102</v>
      </c>
      <c r="J544" s="1" t="s">
        <v>121</v>
      </c>
    </row>
    <row r="545" spans="9:10">
      <c r="I545" s="1">
        <v>510201</v>
      </c>
      <c r="J545" s="1" t="s">
        <v>122</v>
      </c>
    </row>
    <row r="546" spans="9:10">
      <c r="I546" s="1">
        <v>510202</v>
      </c>
      <c r="J546" s="1" t="s">
        <v>123</v>
      </c>
    </row>
    <row r="547" spans="9:10">
      <c r="I547" s="1">
        <v>510211</v>
      </c>
      <c r="J547" s="1" t="s">
        <v>124</v>
      </c>
    </row>
    <row r="548" spans="9:10">
      <c r="I548" s="1">
        <v>510221</v>
      </c>
      <c r="J548" s="1" t="s">
        <v>125</v>
      </c>
    </row>
    <row r="549" spans="9:10">
      <c r="I549" s="1">
        <v>510271</v>
      </c>
      <c r="J549" s="1" t="s">
        <v>126</v>
      </c>
    </row>
    <row r="550" spans="9:10">
      <c r="I550" s="1">
        <v>510281</v>
      </c>
      <c r="J550" s="1" t="s">
        <v>127</v>
      </c>
    </row>
    <row r="551" spans="9:10">
      <c r="I551" s="1">
        <v>510291</v>
      </c>
      <c r="J551" s="1" t="s">
        <v>128</v>
      </c>
    </row>
    <row r="552" spans="9:10">
      <c r="I552" s="1">
        <v>4102</v>
      </c>
      <c r="J552" s="1" t="s">
        <v>129</v>
      </c>
    </row>
    <row r="553" spans="9:10">
      <c r="I553" s="1">
        <v>410201</v>
      </c>
      <c r="J553" s="1" t="s">
        <v>130</v>
      </c>
    </row>
    <row r="554" spans="9:10">
      <c r="I554" s="1">
        <v>410202</v>
      </c>
      <c r="J554" s="1" t="s">
        <v>131</v>
      </c>
    </row>
    <row r="555" spans="9:10">
      <c r="I555" s="1">
        <v>410211</v>
      </c>
      <c r="J555" s="1" t="s">
        <v>132</v>
      </c>
    </row>
    <row r="556" spans="9:10">
      <c r="I556" s="1">
        <v>410221</v>
      </c>
      <c r="J556" s="1" t="s">
        <v>133</v>
      </c>
    </row>
    <row r="557" spans="9:10">
      <c r="I557" s="1">
        <v>410291</v>
      </c>
      <c r="J557" s="1" t="s">
        <v>134</v>
      </c>
    </row>
    <row r="558" spans="9:10">
      <c r="I558" s="1">
        <v>4112</v>
      </c>
      <c r="J558" s="1" t="s">
        <v>135</v>
      </c>
    </row>
    <row r="559" spans="9:10">
      <c r="I559" s="1">
        <v>411201</v>
      </c>
      <c r="J559" s="1" t="s">
        <v>136</v>
      </c>
    </row>
    <row r="560" spans="9:10">
      <c r="I560" s="1">
        <v>411202</v>
      </c>
      <c r="J560" s="1" t="s">
        <v>137</v>
      </c>
    </row>
    <row r="561" spans="9:10">
      <c r="I561" s="1">
        <v>411203</v>
      </c>
      <c r="J561" s="1" t="s">
        <v>138</v>
      </c>
    </row>
    <row r="562" spans="9:10">
      <c r="I562" s="1">
        <v>411204</v>
      </c>
      <c r="J562" s="1" t="s">
        <v>139</v>
      </c>
    </row>
    <row r="563" spans="9:10">
      <c r="I563" s="1">
        <v>411205</v>
      </c>
      <c r="J563" s="1" t="s">
        <v>140</v>
      </c>
    </row>
    <row r="564" spans="9:10">
      <c r="I564" s="1">
        <v>4113</v>
      </c>
      <c r="J564" s="1" t="s">
        <v>141</v>
      </c>
    </row>
    <row r="565" spans="9:10">
      <c r="I565" s="1">
        <v>411301</v>
      </c>
      <c r="J565" s="1" t="s">
        <v>141</v>
      </c>
    </row>
    <row r="566" spans="9:10">
      <c r="I566" s="1" t="s">
        <v>6</v>
      </c>
      <c r="J566" s="1" t="s">
        <v>16</v>
      </c>
    </row>
    <row r="567" spans="9:10">
      <c r="I567" s="1" t="s">
        <v>142</v>
      </c>
      <c r="J567" s="1" t="s">
        <v>17</v>
      </c>
    </row>
    <row r="568" spans="9:10">
      <c r="I568" s="1">
        <v>5501</v>
      </c>
      <c r="J568" s="1" t="s">
        <v>143</v>
      </c>
    </row>
    <row r="569" spans="9:10">
      <c r="I569" s="1">
        <v>550101</v>
      </c>
      <c r="J569" s="1" t="s">
        <v>144</v>
      </c>
    </row>
    <row r="570" spans="9:10">
      <c r="I570" s="1">
        <v>55010101</v>
      </c>
      <c r="J570" s="1" t="s">
        <v>145</v>
      </c>
    </row>
    <row r="571" spans="9:10">
      <c r="I571" s="1">
        <v>55010102</v>
      </c>
      <c r="J571" s="1" t="s">
        <v>146</v>
      </c>
    </row>
    <row r="572" spans="9:10">
      <c r="I572" s="1">
        <v>55010103</v>
      </c>
      <c r="J572" s="1" t="s">
        <v>147</v>
      </c>
    </row>
    <row r="573" spans="9:10">
      <c r="I573" s="1">
        <v>550102</v>
      </c>
      <c r="J573" s="1" t="s">
        <v>148</v>
      </c>
    </row>
    <row r="574" spans="9:10">
      <c r="I574" s="1">
        <v>550103</v>
      </c>
      <c r="J574" s="1" t="s">
        <v>149</v>
      </c>
    </row>
    <row r="575" spans="9:10">
      <c r="I575" s="1">
        <v>550104</v>
      </c>
      <c r="J575" s="1" t="s">
        <v>150</v>
      </c>
    </row>
    <row r="576" spans="9:10">
      <c r="I576" s="1">
        <v>550105</v>
      </c>
      <c r="J576" s="1" t="s">
        <v>151</v>
      </c>
    </row>
    <row r="577" spans="9:10">
      <c r="I577" s="1">
        <v>550106</v>
      </c>
      <c r="J577" s="1" t="s">
        <v>152</v>
      </c>
    </row>
    <row r="578" spans="9:10">
      <c r="I578" s="1">
        <v>550107</v>
      </c>
      <c r="J578" s="1" t="s">
        <v>153</v>
      </c>
    </row>
    <row r="579" spans="9:10">
      <c r="I579" s="1">
        <v>550108</v>
      </c>
      <c r="J579" s="1" t="s">
        <v>154</v>
      </c>
    </row>
    <row r="580" spans="9:10">
      <c r="I580" s="1">
        <v>550109</v>
      </c>
      <c r="J580" s="1" t="s">
        <v>155</v>
      </c>
    </row>
    <row r="581" spans="9:10">
      <c r="I581" s="1">
        <v>55010901</v>
      </c>
      <c r="J581" s="1" t="s">
        <v>156</v>
      </c>
    </row>
    <row r="582" spans="9:10">
      <c r="I582" s="1">
        <v>55010902</v>
      </c>
      <c r="J582" s="1" t="s">
        <v>157</v>
      </c>
    </row>
    <row r="583" spans="9:10">
      <c r="I583" s="1">
        <v>55010903</v>
      </c>
      <c r="J583" s="1" t="s">
        <v>158</v>
      </c>
    </row>
    <row r="584" spans="9:10">
      <c r="I584" s="1">
        <v>550110</v>
      </c>
      <c r="J584" s="1" t="s">
        <v>159</v>
      </c>
    </row>
    <row r="585" spans="9:10">
      <c r="I585" s="1">
        <v>550111</v>
      </c>
      <c r="J585" s="1" t="s">
        <v>160</v>
      </c>
    </row>
    <row r="586" spans="9:10">
      <c r="I586" s="1">
        <v>550112</v>
      </c>
      <c r="J586" s="1" t="s">
        <v>161</v>
      </c>
    </row>
    <row r="587" spans="9:10">
      <c r="I587" s="1">
        <v>550113</v>
      </c>
      <c r="J587" s="1" t="s">
        <v>162</v>
      </c>
    </row>
    <row r="588" spans="9:10">
      <c r="I588" s="1">
        <v>550114</v>
      </c>
      <c r="J588" s="1" t="s">
        <v>163</v>
      </c>
    </row>
    <row r="589" spans="9:10">
      <c r="I589" s="1">
        <v>550115</v>
      </c>
      <c r="J589" s="1" t="s">
        <v>164</v>
      </c>
    </row>
    <row r="590" spans="9:10">
      <c r="I590" s="1">
        <v>550116</v>
      </c>
      <c r="J590" s="1" t="s">
        <v>165</v>
      </c>
    </row>
    <row r="591" spans="9:10">
      <c r="I591" s="1">
        <v>55011601</v>
      </c>
      <c r="J591" s="1" t="s">
        <v>166</v>
      </c>
    </row>
    <row r="592" spans="9:10">
      <c r="I592" s="1">
        <v>55011602</v>
      </c>
      <c r="J592" s="1" t="s">
        <v>167</v>
      </c>
    </row>
    <row r="593" spans="9:10">
      <c r="I593" s="1">
        <v>55011603</v>
      </c>
      <c r="J593" s="1" t="s">
        <v>168</v>
      </c>
    </row>
    <row r="594" spans="9:10">
      <c r="I594" s="1">
        <v>550117</v>
      </c>
      <c r="J594" s="1" t="s">
        <v>169</v>
      </c>
    </row>
    <row r="595" spans="9:10">
      <c r="I595" s="1">
        <v>550118</v>
      </c>
      <c r="J595" s="1" t="s">
        <v>170</v>
      </c>
    </row>
    <row r="596" spans="9:10">
      <c r="I596" s="1">
        <v>550119</v>
      </c>
      <c r="J596" s="1" t="s">
        <v>171</v>
      </c>
    </row>
    <row r="597" spans="9:10">
      <c r="I597" s="1">
        <v>55011901</v>
      </c>
      <c r="J597" s="1" t="s">
        <v>172</v>
      </c>
    </row>
    <row r="598" spans="9:10">
      <c r="I598" s="1">
        <v>55011902</v>
      </c>
      <c r="J598" s="1" t="s">
        <v>173</v>
      </c>
    </row>
    <row r="599" spans="9:10">
      <c r="I599" s="1">
        <v>550120</v>
      </c>
      <c r="J599" s="1" t="s">
        <v>174</v>
      </c>
    </row>
    <row r="600" spans="9:10">
      <c r="I600" s="1">
        <v>550121</v>
      </c>
      <c r="J600" s="1" t="s">
        <v>175</v>
      </c>
    </row>
    <row r="601" spans="9:10">
      <c r="I601" s="1">
        <v>550122</v>
      </c>
      <c r="J601" s="1" t="s">
        <v>176</v>
      </c>
    </row>
    <row r="602" spans="9:10">
      <c r="I602" s="1">
        <v>55012201</v>
      </c>
      <c r="J602" s="1" t="s">
        <v>177</v>
      </c>
    </row>
    <row r="603" spans="9:10">
      <c r="I603" s="1">
        <v>55012202</v>
      </c>
      <c r="J603" s="1" t="s">
        <v>178</v>
      </c>
    </row>
    <row r="604" spans="9:10">
      <c r="I604" s="1">
        <v>550123</v>
      </c>
      <c r="J604" s="1" t="s">
        <v>179</v>
      </c>
    </row>
    <row r="605" spans="9:10">
      <c r="I605" s="1">
        <v>550124</v>
      </c>
      <c r="J605" s="1" t="s">
        <v>180</v>
      </c>
    </row>
    <row r="606" spans="9:10">
      <c r="I606" s="1">
        <v>550125</v>
      </c>
      <c r="J606" s="1" t="s">
        <v>181</v>
      </c>
    </row>
    <row r="607" spans="9:10">
      <c r="I607" s="1">
        <v>55012501</v>
      </c>
      <c r="J607" s="1" t="s">
        <v>182</v>
      </c>
    </row>
    <row r="608" spans="9:10">
      <c r="I608" s="1">
        <v>55012509</v>
      </c>
      <c r="J608" s="1" t="s">
        <v>183</v>
      </c>
    </row>
    <row r="609" spans="9:10">
      <c r="I609" s="1">
        <v>550126</v>
      </c>
      <c r="J609" s="1" t="s">
        <v>184</v>
      </c>
    </row>
    <row r="610" spans="9:10">
      <c r="I610" s="1">
        <v>55012601</v>
      </c>
      <c r="J610" s="1" t="s">
        <v>185</v>
      </c>
    </row>
    <row r="611" spans="9:10">
      <c r="I611" s="1">
        <v>55012602</v>
      </c>
      <c r="J611" s="1" t="s">
        <v>186</v>
      </c>
    </row>
    <row r="612" spans="9:10">
      <c r="I612" s="1">
        <v>550127</v>
      </c>
      <c r="J612" s="1" t="s">
        <v>187</v>
      </c>
    </row>
    <row r="613" spans="9:10">
      <c r="I613" s="1">
        <v>550128</v>
      </c>
      <c r="J613" s="1" t="s">
        <v>188</v>
      </c>
    </row>
    <row r="614" spans="9:10">
      <c r="I614" s="1">
        <v>550130</v>
      </c>
      <c r="J614" s="1" t="s">
        <v>189</v>
      </c>
    </row>
    <row r="615" spans="9:10">
      <c r="I615" s="1">
        <v>550131</v>
      </c>
      <c r="J615" s="1" t="s">
        <v>190</v>
      </c>
    </row>
    <row r="616" spans="9:10">
      <c r="I616" s="1">
        <v>550132</v>
      </c>
      <c r="J616" s="1" t="s">
        <v>191</v>
      </c>
    </row>
    <row r="617" spans="9:10">
      <c r="I617" s="1">
        <v>550133</v>
      </c>
      <c r="J617" s="1" t="s">
        <v>192</v>
      </c>
    </row>
    <row r="618" spans="9:10">
      <c r="I618" s="1">
        <v>550134</v>
      </c>
      <c r="J618" s="1" t="s">
        <v>193</v>
      </c>
    </row>
    <row r="619" spans="9:10">
      <c r="I619" s="1">
        <v>550188</v>
      </c>
      <c r="J619" s="1" t="s">
        <v>194</v>
      </c>
    </row>
    <row r="620" spans="9:10">
      <c r="I620" s="1">
        <v>550199</v>
      </c>
      <c r="J620" s="1" t="s">
        <v>195</v>
      </c>
    </row>
    <row r="621" spans="9:10">
      <c r="I621" s="1">
        <v>55019901</v>
      </c>
      <c r="J621" s="1" t="s">
        <v>196</v>
      </c>
    </row>
    <row r="622" spans="9:10">
      <c r="I622" s="1">
        <v>55019911</v>
      </c>
      <c r="J622" s="1" t="s">
        <v>197</v>
      </c>
    </row>
    <row r="623" spans="9:10">
      <c r="I623" s="1">
        <v>55019912</v>
      </c>
      <c r="J623" s="1" t="s">
        <v>198</v>
      </c>
    </row>
    <row r="624" spans="9:10">
      <c r="I624" s="1">
        <v>55019913</v>
      </c>
      <c r="J624" s="1" t="s">
        <v>199</v>
      </c>
    </row>
    <row r="625" spans="9:10">
      <c r="I625" s="1">
        <v>55019914</v>
      </c>
      <c r="J625" s="1" t="s">
        <v>200</v>
      </c>
    </row>
    <row r="626" spans="9:10">
      <c r="I626" s="1">
        <v>55019915</v>
      </c>
      <c r="J626" s="1" t="s">
        <v>201</v>
      </c>
    </row>
    <row r="627" spans="9:10">
      <c r="I627" s="1">
        <v>55019916</v>
      </c>
      <c r="J627" s="1" t="s">
        <v>202</v>
      </c>
    </row>
    <row r="628" spans="9:10">
      <c r="I628" s="1" t="s">
        <v>18</v>
      </c>
      <c r="J628" s="1" t="s">
        <v>203</v>
      </c>
    </row>
    <row r="629" spans="9:10">
      <c r="I629" s="1">
        <v>5601</v>
      </c>
      <c r="J629" s="1" t="s">
        <v>204</v>
      </c>
    </row>
    <row r="630" spans="9:10">
      <c r="I630" s="1" t="s">
        <v>205</v>
      </c>
      <c r="J630" s="1" t="s">
        <v>204</v>
      </c>
    </row>
    <row r="631" spans="9:10">
      <c r="I631" s="1">
        <v>560101</v>
      </c>
      <c r="J631" s="1" t="s">
        <v>206</v>
      </c>
    </row>
    <row r="632" spans="9:10">
      <c r="I632" s="1">
        <v>56010101</v>
      </c>
      <c r="J632" s="1" t="s">
        <v>207</v>
      </c>
    </row>
    <row r="633" spans="9:10">
      <c r="I633" s="1">
        <v>56010102</v>
      </c>
      <c r="J633" s="1" t="s">
        <v>208</v>
      </c>
    </row>
    <row r="634" spans="9:10">
      <c r="I634" s="1">
        <v>56010103</v>
      </c>
      <c r="J634" s="1" t="s">
        <v>209</v>
      </c>
    </row>
    <row r="635" spans="9:10">
      <c r="I635" s="1">
        <v>56010104</v>
      </c>
      <c r="J635" s="1" t="s">
        <v>210</v>
      </c>
    </row>
    <row r="636" spans="9:10">
      <c r="I636" s="1">
        <v>560102</v>
      </c>
      <c r="J636" s="1" t="s">
        <v>211</v>
      </c>
    </row>
    <row r="637" spans="9:10">
      <c r="I637" s="1">
        <v>560103</v>
      </c>
      <c r="J637" s="1" t="s">
        <v>212</v>
      </c>
    </row>
    <row r="638" spans="9:10">
      <c r="I638" s="1">
        <v>560104</v>
      </c>
      <c r="J638" s="1" t="s">
        <v>213</v>
      </c>
    </row>
    <row r="639" spans="9:10">
      <c r="I639" s="1">
        <v>560105</v>
      </c>
      <c r="J639" s="1" t="s">
        <v>214</v>
      </c>
    </row>
    <row r="640" spans="9:10">
      <c r="I640" s="1">
        <v>560106</v>
      </c>
      <c r="J640" s="1" t="s">
        <v>215</v>
      </c>
    </row>
    <row r="641" spans="9:10">
      <c r="I641" s="1">
        <v>560107</v>
      </c>
      <c r="J641" s="1" t="s">
        <v>216</v>
      </c>
    </row>
    <row r="642" spans="9:10">
      <c r="I642" s="1">
        <v>560108</v>
      </c>
      <c r="J642" s="1" t="s">
        <v>217</v>
      </c>
    </row>
    <row r="643" spans="9:10">
      <c r="I643" s="1">
        <v>560109</v>
      </c>
      <c r="J643" s="1" t="s">
        <v>218</v>
      </c>
    </row>
    <row r="644" spans="9:10">
      <c r="I644" s="1">
        <v>56010901</v>
      </c>
      <c r="J644" s="1" t="s">
        <v>219</v>
      </c>
    </row>
    <row r="645" spans="9:10">
      <c r="I645" s="1">
        <v>56010902</v>
      </c>
      <c r="J645" s="1" t="s">
        <v>220</v>
      </c>
    </row>
    <row r="646" spans="9:10">
      <c r="I646" s="1">
        <v>56010903</v>
      </c>
      <c r="J646" s="1" t="s">
        <v>221</v>
      </c>
    </row>
    <row r="647" spans="9:10">
      <c r="I647" s="1">
        <v>560110</v>
      </c>
      <c r="J647" s="1" t="s">
        <v>222</v>
      </c>
    </row>
    <row r="648" spans="9:10">
      <c r="I648" s="1">
        <v>56011001</v>
      </c>
      <c r="J648" s="1" t="s">
        <v>223</v>
      </c>
    </row>
    <row r="649" spans="9:10">
      <c r="I649" s="1">
        <v>56011002</v>
      </c>
      <c r="J649" s="1" t="s">
        <v>224</v>
      </c>
    </row>
    <row r="650" spans="9:10">
      <c r="I650" s="1">
        <v>56011003</v>
      </c>
      <c r="J650" s="1" t="s">
        <v>225</v>
      </c>
    </row>
    <row r="651" spans="9:10">
      <c r="I651" s="1">
        <v>56011004</v>
      </c>
      <c r="J651" s="1" t="s">
        <v>226</v>
      </c>
    </row>
    <row r="652" spans="9:10">
      <c r="I652" s="1">
        <v>56011005</v>
      </c>
      <c r="J652" s="1" t="s">
        <v>227</v>
      </c>
    </row>
    <row r="653" spans="9:10">
      <c r="I653" s="1">
        <v>56011006</v>
      </c>
      <c r="J653" s="1" t="s">
        <v>228</v>
      </c>
    </row>
    <row r="654" spans="9:10">
      <c r="I654" s="1">
        <v>56011007</v>
      </c>
      <c r="J654" s="1" t="s">
        <v>229</v>
      </c>
    </row>
    <row r="655" spans="9:10">
      <c r="I655" s="1">
        <v>56011008</v>
      </c>
      <c r="J655" s="1" t="s">
        <v>230</v>
      </c>
    </row>
    <row r="656" spans="9:10">
      <c r="I656" s="1">
        <v>56011009</v>
      </c>
      <c r="J656" s="1" t="s">
        <v>231</v>
      </c>
    </row>
    <row r="657" spans="9:10">
      <c r="I657" s="1">
        <v>560111</v>
      </c>
      <c r="J657" s="1" t="s">
        <v>232</v>
      </c>
    </row>
    <row r="658" spans="9:10">
      <c r="I658" s="1">
        <v>560112</v>
      </c>
      <c r="J658" s="1" t="s">
        <v>233</v>
      </c>
    </row>
    <row r="659" spans="9:10">
      <c r="I659" s="1">
        <v>560113</v>
      </c>
      <c r="J659" s="1" t="s">
        <v>234</v>
      </c>
    </row>
    <row r="660" spans="9:10">
      <c r="I660" s="1">
        <v>56011301</v>
      </c>
      <c r="J660" s="1" t="s">
        <v>235</v>
      </c>
    </row>
    <row r="661" spans="9:10">
      <c r="I661" s="1">
        <v>5601130101</v>
      </c>
      <c r="J661" s="1" t="s">
        <v>236</v>
      </c>
    </row>
    <row r="662" spans="9:10">
      <c r="I662" s="1">
        <v>5601130102</v>
      </c>
      <c r="J662" s="1" t="s">
        <v>237</v>
      </c>
    </row>
    <row r="663" spans="9:10">
      <c r="I663" s="1">
        <v>5601130103</v>
      </c>
      <c r="J663" s="1" t="s">
        <v>238</v>
      </c>
    </row>
    <row r="664" spans="9:10">
      <c r="I664" s="1">
        <v>5601130104</v>
      </c>
      <c r="J664" s="1" t="s">
        <v>239</v>
      </c>
    </row>
    <row r="665" spans="9:10">
      <c r="I665" s="1">
        <v>5601130105</v>
      </c>
      <c r="J665" s="1" t="s">
        <v>240</v>
      </c>
    </row>
    <row r="666" spans="9:10">
      <c r="I666" s="1">
        <v>5601130106</v>
      </c>
      <c r="J666" s="1" t="s">
        <v>241</v>
      </c>
    </row>
    <row r="667" spans="9:10">
      <c r="I667" s="1">
        <v>5601130107</v>
      </c>
      <c r="J667" s="1" t="s">
        <v>242</v>
      </c>
    </row>
    <row r="668" spans="9:10">
      <c r="I668" s="1">
        <v>5601130108</v>
      </c>
      <c r="J668" s="1" t="s">
        <v>243</v>
      </c>
    </row>
    <row r="669" spans="9:10">
      <c r="I669" s="1">
        <v>56011302</v>
      </c>
      <c r="J669" s="1" t="s">
        <v>244</v>
      </c>
    </row>
    <row r="670" spans="9:10">
      <c r="I670" s="1">
        <v>56011303</v>
      </c>
      <c r="J670" s="1" t="s">
        <v>245</v>
      </c>
    </row>
    <row r="671" spans="9:10">
      <c r="I671" s="1">
        <v>560114</v>
      </c>
      <c r="J671" s="1" t="s">
        <v>246</v>
      </c>
    </row>
    <row r="672" spans="9:10">
      <c r="I672" s="1">
        <v>560115</v>
      </c>
      <c r="J672" s="1" t="s">
        <v>247</v>
      </c>
    </row>
    <row r="673" spans="9:10">
      <c r="I673" s="1">
        <v>560116</v>
      </c>
      <c r="J673" s="1" t="s">
        <v>248</v>
      </c>
    </row>
    <row r="674" spans="9:10">
      <c r="I674" s="1">
        <v>56011601</v>
      </c>
      <c r="J674" s="1" t="s">
        <v>249</v>
      </c>
    </row>
    <row r="675" spans="9:10">
      <c r="I675" s="1">
        <v>56011602</v>
      </c>
      <c r="J675" s="1" t="s">
        <v>250</v>
      </c>
    </row>
    <row r="676" spans="9:10">
      <c r="I676" s="1">
        <v>56011603</v>
      </c>
      <c r="J676" s="1" t="s">
        <v>251</v>
      </c>
    </row>
    <row r="677" spans="9:10">
      <c r="I677" s="1">
        <v>560117</v>
      </c>
      <c r="J677" s="1" t="s">
        <v>252</v>
      </c>
    </row>
    <row r="678" spans="9:10">
      <c r="I678" s="1">
        <v>560118</v>
      </c>
      <c r="J678" s="1" t="s">
        <v>253</v>
      </c>
    </row>
    <row r="679" spans="9:10">
      <c r="I679" s="1">
        <v>56011801</v>
      </c>
      <c r="J679" s="1" t="s">
        <v>253</v>
      </c>
    </row>
    <row r="680" spans="9:10">
      <c r="I680" s="1">
        <v>560119</v>
      </c>
      <c r="J680" s="1" t="s">
        <v>254</v>
      </c>
    </row>
    <row r="681" spans="9:10">
      <c r="I681" s="1">
        <v>56011901</v>
      </c>
      <c r="J681" s="1" t="s">
        <v>255</v>
      </c>
    </row>
    <row r="682" spans="9:10">
      <c r="I682" s="1">
        <v>56011902</v>
      </c>
      <c r="J682" s="1" t="s">
        <v>256</v>
      </c>
    </row>
    <row r="683" spans="9:10">
      <c r="I683" s="1">
        <v>560120</v>
      </c>
      <c r="J683" s="1" t="s">
        <v>257</v>
      </c>
    </row>
    <row r="684" spans="9:10">
      <c r="I684" s="1">
        <v>560121</v>
      </c>
      <c r="J684" s="1" t="s">
        <v>258</v>
      </c>
    </row>
    <row r="685" spans="9:10">
      <c r="I685" s="1">
        <v>560122</v>
      </c>
      <c r="J685" s="1" t="s">
        <v>259</v>
      </c>
    </row>
    <row r="686" spans="9:10">
      <c r="I686" s="1">
        <v>560123</v>
      </c>
      <c r="J686" s="1" t="s">
        <v>260</v>
      </c>
    </row>
    <row r="687" spans="9:10">
      <c r="I687" s="1">
        <v>560124</v>
      </c>
      <c r="J687" s="1" t="s">
        <v>261</v>
      </c>
    </row>
    <row r="688" spans="9:10">
      <c r="I688" s="1">
        <v>56012401</v>
      </c>
      <c r="J688" s="1" t="s">
        <v>262</v>
      </c>
    </row>
    <row r="689" spans="9:10">
      <c r="I689" s="1">
        <v>56012402</v>
      </c>
      <c r="J689" s="1" t="s">
        <v>263</v>
      </c>
    </row>
    <row r="690" spans="9:10">
      <c r="I690" s="1">
        <v>56012403</v>
      </c>
      <c r="J690" s="1" t="s">
        <v>264</v>
      </c>
    </row>
    <row r="691" spans="9:10">
      <c r="I691" s="1">
        <v>56012404</v>
      </c>
      <c r="J691" s="1" t="s">
        <v>265</v>
      </c>
    </row>
    <row r="692" spans="9:10">
      <c r="I692" s="1">
        <v>56012405</v>
      </c>
      <c r="J692" s="1" t="s">
        <v>266</v>
      </c>
    </row>
    <row r="693" spans="9:10">
      <c r="I693" s="1">
        <v>56012408</v>
      </c>
      <c r="J693" s="1" t="s">
        <v>267</v>
      </c>
    </row>
    <row r="694" spans="9:10">
      <c r="I694" s="1">
        <v>560125</v>
      </c>
      <c r="J694" s="1" t="s">
        <v>268</v>
      </c>
    </row>
    <row r="695" spans="9:10">
      <c r="I695" s="1">
        <v>56012501</v>
      </c>
      <c r="J695" s="1" t="s">
        <v>269</v>
      </c>
    </row>
    <row r="696" spans="9:10">
      <c r="I696" s="1">
        <v>56012509</v>
      </c>
      <c r="J696" s="1" t="s">
        <v>270</v>
      </c>
    </row>
    <row r="697" spans="9:10">
      <c r="I697" s="1">
        <v>560126</v>
      </c>
      <c r="J697" s="1" t="s">
        <v>271</v>
      </c>
    </row>
    <row r="698" spans="9:10">
      <c r="I698" s="1">
        <v>56012601</v>
      </c>
      <c r="J698" s="1" t="s">
        <v>272</v>
      </c>
    </row>
    <row r="699" spans="9:10">
      <c r="I699" s="1">
        <v>56012602</v>
      </c>
      <c r="J699" s="1" t="s">
        <v>273</v>
      </c>
    </row>
    <row r="700" spans="9:10">
      <c r="I700" s="1">
        <v>560127</v>
      </c>
      <c r="J700" s="1" t="s">
        <v>274</v>
      </c>
    </row>
    <row r="701" spans="9:10">
      <c r="I701" s="1">
        <v>560128</v>
      </c>
      <c r="J701" s="1" t="s">
        <v>275</v>
      </c>
    </row>
    <row r="702" spans="9:10">
      <c r="I702" s="1">
        <v>560129</v>
      </c>
      <c r="J702" s="1" t="s">
        <v>276</v>
      </c>
    </row>
    <row r="703" spans="9:10">
      <c r="I703" s="1">
        <v>560130</v>
      </c>
      <c r="J703" s="1" t="s">
        <v>277</v>
      </c>
    </row>
    <row r="704" spans="9:10">
      <c r="I704" s="1" t="s">
        <v>278</v>
      </c>
      <c r="J704" s="1" t="s">
        <v>277</v>
      </c>
    </row>
    <row r="705" spans="9:10">
      <c r="I705" s="1">
        <v>56013001</v>
      </c>
      <c r="J705" s="1" t="s">
        <v>279</v>
      </c>
    </row>
    <row r="706" spans="9:10">
      <c r="I706" s="1">
        <v>56013002</v>
      </c>
      <c r="J706" s="1" t="s">
        <v>280</v>
      </c>
    </row>
    <row r="707" spans="9:10">
      <c r="I707" s="1">
        <v>56013003</v>
      </c>
      <c r="J707" s="1" t="s">
        <v>281</v>
      </c>
    </row>
    <row r="708" spans="9:10">
      <c r="I708" s="1" t="s">
        <v>282</v>
      </c>
      <c r="J708" s="1" t="s">
        <v>279</v>
      </c>
    </row>
    <row r="709" spans="9:10">
      <c r="I709" s="1" t="s">
        <v>283</v>
      </c>
      <c r="J709" s="1" t="s">
        <v>280</v>
      </c>
    </row>
    <row r="710" spans="9:10">
      <c r="I710" s="1" t="s">
        <v>284</v>
      </c>
      <c r="J710" s="1" t="s">
        <v>281</v>
      </c>
    </row>
    <row r="711" spans="9:10">
      <c r="I711" s="1">
        <v>560131</v>
      </c>
      <c r="J711" s="1" t="s">
        <v>285</v>
      </c>
    </row>
    <row r="712" spans="9:10">
      <c r="I712" s="1">
        <v>560132</v>
      </c>
      <c r="J712" s="1" t="s">
        <v>286</v>
      </c>
    </row>
    <row r="713" spans="9:10">
      <c r="I713" s="1">
        <v>560133</v>
      </c>
      <c r="J713" s="1" t="s">
        <v>287</v>
      </c>
    </row>
    <row r="714" spans="9:10">
      <c r="I714" s="1">
        <v>560134</v>
      </c>
      <c r="J714" s="1" t="s">
        <v>288</v>
      </c>
    </row>
    <row r="715" spans="9:10">
      <c r="I715" s="1">
        <v>560188</v>
      </c>
      <c r="J715" s="1" t="s">
        <v>289</v>
      </c>
    </row>
    <row r="716" spans="9:10">
      <c r="I716" s="1">
        <v>560199</v>
      </c>
      <c r="J716" s="1" t="s">
        <v>290</v>
      </c>
    </row>
    <row r="717" spans="9:10">
      <c r="I717" s="1">
        <v>56019901</v>
      </c>
      <c r="J717" s="1" t="s">
        <v>291</v>
      </c>
    </row>
    <row r="718" spans="9:10">
      <c r="I718" s="1">
        <v>56019902</v>
      </c>
      <c r="J718" s="1" t="s">
        <v>292</v>
      </c>
    </row>
    <row r="719" spans="9:10">
      <c r="I719" s="1">
        <v>56019903</v>
      </c>
      <c r="J719" s="1" t="s">
        <v>293</v>
      </c>
    </row>
    <row r="720" spans="9:10">
      <c r="I720" s="1">
        <v>56019904</v>
      </c>
      <c r="J720" s="1" t="s">
        <v>294</v>
      </c>
    </row>
    <row r="721" spans="9:10">
      <c r="I721" s="1">
        <v>56019905</v>
      </c>
      <c r="J721" s="1" t="s">
        <v>295</v>
      </c>
    </row>
    <row r="722" spans="9:10">
      <c r="I722" s="1">
        <v>56019906</v>
      </c>
      <c r="J722" s="1" t="s">
        <v>296</v>
      </c>
    </row>
    <row r="723" spans="9:10">
      <c r="I723" s="1">
        <v>56019907</v>
      </c>
      <c r="J723" s="1" t="s">
        <v>297</v>
      </c>
    </row>
    <row r="724" spans="9:10">
      <c r="I724" s="1">
        <v>56019909</v>
      </c>
      <c r="J724" s="1" t="s">
        <v>298</v>
      </c>
    </row>
    <row r="725" spans="9:10">
      <c r="I725" s="1">
        <v>56019911</v>
      </c>
      <c r="J725" s="1" t="s">
        <v>299</v>
      </c>
    </row>
    <row r="726" spans="9:10">
      <c r="I726" s="1">
        <v>56019912</v>
      </c>
      <c r="J726" s="1" t="s">
        <v>300</v>
      </c>
    </row>
    <row r="727" spans="9:10">
      <c r="I727" s="1">
        <v>56019913</v>
      </c>
      <c r="J727" s="1" t="s">
        <v>301</v>
      </c>
    </row>
    <row r="728" spans="9:10">
      <c r="I728" s="1">
        <v>56019914</v>
      </c>
      <c r="J728" s="1" t="s">
        <v>302</v>
      </c>
    </row>
    <row r="729" spans="9:10">
      <c r="I729" s="1">
        <v>56019915</v>
      </c>
      <c r="J729" s="1" t="s">
        <v>303</v>
      </c>
    </row>
    <row r="730" spans="9:10">
      <c r="I730" s="1">
        <v>56019924</v>
      </c>
      <c r="J730" s="1" t="s">
        <v>304</v>
      </c>
    </row>
    <row r="731" spans="9:10">
      <c r="I731" s="1">
        <v>56019925</v>
      </c>
      <c r="J731" s="1" t="s">
        <v>305</v>
      </c>
    </row>
    <row r="732" spans="9:10">
      <c r="I732" s="1">
        <v>56019928</v>
      </c>
      <c r="J732" s="1" t="s">
        <v>306</v>
      </c>
    </row>
    <row r="733" spans="9:10">
      <c r="I733" s="1">
        <v>56019929</v>
      </c>
      <c r="J733" s="1" t="s">
        <v>307</v>
      </c>
    </row>
    <row r="734" spans="9:10">
      <c r="I734" s="1">
        <v>56019930</v>
      </c>
      <c r="J734" s="1" t="s">
        <v>308</v>
      </c>
    </row>
    <row r="735" spans="9:10">
      <c r="I735" s="1">
        <v>56019931</v>
      </c>
      <c r="J735" s="1" t="s">
        <v>309</v>
      </c>
    </row>
    <row r="736" spans="9:10">
      <c r="I736" s="1">
        <v>56019932</v>
      </c>
      <c r="J736" s="1" t="s">
        <v>310</v>
      </c>
    </row>
    <row r="737" spans="9:10">
      <c r="I737" s="1">
        <v>56019933</v>
      </c>
      <c r="J737" s="1" t="s">
        <v>311</v>
      </c>
    </row>
    <row r="738" spans="9:10">
      <c r="I738" s="1">
        <v>56019934</v>
      </c>
      <c r="J738" s="1" t="s">
        <v>312</v>
      </c>
    </row>
    <row r="739" spans="9:10">
      <c r="I739" s="1">
        <v>56019935</v>
      </c>
      <c r="J739" s="1" t="s">
        <v>313</v>
      </c>
    </row>
    <row r="740" spans="9:10">
      <c r="I740" s="1">
        <v>56019981</v>
      </c>
      <c r="J740" s="1" t="s">
        <v>314</v>
      </c>
    </row>
    <row r="741" spans="9:10">
      <c r="I741" s="1">
        <v>56019982</v>
      </c>
      <c r="J741" s="1" t="s">
        <v>315</v>
      </c>
    </row>
    <row r="742" spans="9:10">
      <c r="I742" s="1">
        <v>56019983</v>
      </c>
      <c r="J742" s="1" t="s">
        <v>316</v>
      </c>
    </row>
    <row r="743" spans="9:10">
      <c r="I743" s="1">
        <v>56019984</v>
      </c>
      <c r="J743" s="1" t="s">
        <v>317</v>
      </c>
    </row>
    <row r="744" spans="9:10">
      <c r="I744" s="1">
        <v>56019985</v>
      </c>
      <c r="J744" s="1" t="s">
        <v>318</v>
      </c>
    </row>
    <row r="745" spans="9:10">
      <c r="I745" s="1">
        <v>56019999</v>
      </c>
      <c r="J745" s="1" t="s">
        <v>319</v>
      </c>
    </row>
    <row r="746" spans="9:10">
      <c r="I746" s="1" t="s">
        <v>19</v>
      </c>
      <c r="J746" s="1" t="s">
        <v>320</v>
      </c>
    </row>
    <row r="747" spans="9:10">
      <c r="I747" s="1">
        <v>5701</v>
      </c>
      <c r="J747" s="1" t="s">
        <v>321</v>
      </c>
    </row>
    <row r="748" spans="9:10">
      <c r="I748" s="1">
        <v>570101</v>
      </c>
      <c r="J748" s="1" t="s">
        <v>322</v>
      </c>
    </row>
    <row r="749" spans="9:10">
      <c r="I749" s="1">
        <v>57010101</v>
      </c>
      <c r="J749" s="1" t="s">
        <v>323</v>
      </c>
    </row>
    <row r="750" spans="9:10">
      <c r="I750" s="1">
        <v>57010102</v>
      </c>
      <c r="J750" s="1" t="s">
        <v>324</v>
      </c>
    </row>
    <row r="751" spans="9:10">
      <c r="I751" s="1">
        <v>57010103</v>
      </c>
      <c r="J751" s="1" t="s">
        <v>325</v>
      </c>
    </row>
    <row r="752" spans="9:10">
      <c r="I752" s="1">
        <v>570102</v>
      </c>
      <c r="J752" s="1" t="s">
        <v>326</v>
      </c>
    </row>
    <row r="753" spans="9:10">
      <c r="I753" s="1">
        <v>570103</v>
      </c>
      <c r="J753" s="1" t="s">
        <v>327</v>
      </c>
    </row>
    <row r="754" spans="9:10">
      <c r="I754" s="1">
        <v>570104</v>
      </c>
      <c r="J754" s="1" t="s">
        <v>328</v>
      </c>
    </row>
    <row r="755" spans="9:10">
      <c r="I755" s="1">
        <v>570105</v>
      </c>
      <c r="J755" s="1" t="s">
        <v>329</v>
      </c>
    </row>
    <row r="756" spans="9:10">
      <c r="I756" s="1">
        <v>570106</v>
      </c>
      <c r="J756" s="1" t="s">
        <v>330</v>
      </c>
    </row>
    <row r="757" spans="9:10">
      <c r="I757" s="1">
        <v>570107</v>
      </c>
      <c r="J757" s="1" t="s">
        <v>331</v>
      </c>
    </row>
    <row r="758" spans="9:10">
      <c r="I758" s="1">
        <v>570108</v>
      </c>
      <c r="J758" s="1" t="s">
        <v>332</v>
      </c>
    </row>
    <row r="759" spans="9:10">
      <c r="I759" s="1">
        <v>570109</v>
      </c>
      <c r="J759" s="1" t="s">
        <v>333</v>
      </c>
    </row>
    <row r="760" spans="9:10">
      <c r="I760" s="1">
        <v>57010901</v>
      </c>
      <c r="J760" s="1" t="s">
        <v>334</v>
      </c>
    </row>
    <row r="761" spans="9:10">
      <c r="I761" s="1">
        <v>57010902</v>
      </c>
      <c r="J761" s="1" t="s">
        <v>335</v>
      </c>
    </row>
    <row r="762" spans="9:10">
      <c r="I762" s="1">
        <v>57010903</v>
      </c>
      <c r="J762" s="1" t="s">
        <v>336</v>
      </c>
    </row>
    <row r="763" spans="9:10">
      <c r="I763" s="1">
        <v>570110</v>
      </c>
      <c r="J763" s="1" t="s">
        <v>337</v>
      </c>
    </row>
    <row r="764" spans="9:10">
      <c r="I764" s="1">
        <v>570111</v>
      </c>
      <c r="J764" s="1" t="s">
        <v>338</v>
      </c>
    </row>
    <row r="765" spans="9:10">
      <c r="I765" s="1">
        <v>570112</v>
      </c>
      <c r="J765" s="1" t="s">
        <v>339</v>
      </c>
    </row>
    <row r="766" spans="9:10">
      <c r="I766" s="1">
        <v>570113</v>
      </c>
      <c r="J766" s="1" t="s">
        <v>340</v>
      </c>
    </row>
    <row r="767" spans="9:10">
      <c r="I767" s="1">
        <v>570114</v>
      </c>
      <c r="J767" s="1" t="s">
        <v>341</v>
      </c>
    </row>
    <row r="768" spans="9:10">
      <c r="I768" s="1">
        <v>570115</v>
      </c>
      <c r="J768" s="1" t="s">
        <v>342</v>
      </c>
    </row>
    <row r="769" spans="9:10">
      <c r="I769" s="1">
        <v>570116</v>
      </c>
      <c r="J769" s="1" t="s">
        <v>343</v>
      </c>
    </row>
    <row r="770" spans="9:10">
      <c r="I770" s="1">
        <v>57011601</v>
      </c>
      <c r="J770" s="1" t="s">
        <v>344</v>
      </c>
    </row>
    <row r="771" spans="9:10">
      <c r="I771" s="1">
        <v>57011602</v>
      </c>
      <c r="J771" s="1" t="s">
        <v>345</v>
      </c>
    </row>
    <row r="772" spans="9:10">
      <c r="I772" s="1">
        <v>57011603</v>
      </c>
      <c r="J772" s="1" t="s">
        <v>346</v>
      </c>
    </row>
    <row r="773" spans="9:10">
      <c r="I773" s="1">
        <v>570118</v>
      </c>
      <c r="J773" s="1" t="s">
        <v>347</v>
      </c>
    </row>
    <row r="774" spans="9:10">
      <c r="I774" s="1">
        <v>570119</v>
      </c>
      <c r="J774" s="1" t="s">
        <v>348</v>
      </c>
    </row>
    <row r="775" spans="9:10">
      <c r="I775" s="1">
        <v>57011901</v>
      </c>
      <c r="J775" s="1" t="s">
        <v>349</v>
      </c>
    </row>
    <row r="776" spans="9:10">
      <c r="I776" s="1">
        <v>57011902</v>
      </c>
      <c r="J776" s="1" t="s">
        <v>350</v>
      </c>
    </row>
    <row r="777" spans="9:10">
      <c r="I777" s="1">
        <v>570121</v>
      </c>
      <c r="J777" s="1" t="s">
        <v>351</v>
      </c>
    </row>
    <row r="778" spans="9:10">
      <c r="I778" s="1">
        <v>570122</v>
      </c>
      <c r="J778" s="1" t="s">
        <v>352</v>
      </c>
    </row>
    <row r="779" spans="9:10">
      <c r="I779" s="1">
        <v>57012201</v>
      </c>
      <c r="J779" s="1" t="s">
        <v>353</v>
      </c>
    </row>
    <row r="780" spans="9:10">
      <c r="I780" s="1">
        <v>57012202</v>
      </c>
      <c r="J780" s="1" t="s">
        <v>354</v>
      </c>
    </row>
    <row r="781" spans="9:10">
      <c r="I781" s="1">
        <v>570123</v>
      </c>
      <c r="J781" s="1" t="s">
        <v>355</v>
      </c>
    </row>
    <row r="782" spans="9:10">
      <c r="I782" s="1">
        <v>570124</v>
      </c>
      <c r="J782" s="1" t="s">
        <v>356</v>
      </c>
    </row>
    <row r="783" spans="9:10">
      <c r="I783" s="1">
        <v>570125</v>
      </c>
      <c r="J783" s="1" t="s">
        <v>357</v>
      </c>
    </row>
    <row r="784" spans="9:10">
      <c r="I784" s="1">
        <v>57012501</v>
      </c>
      <c r="J784" s="1" t="s">
        <v>358</v>
      </c>
    </row>
    <row r="785" spans="9:10">
      <c r="I785" s="1">
        <v>57012509</v>
      </c>
      <c r="J785" s="1" t="s">
        <v>359</v>
      </c>
    </row>
    <row r="786" spans="9:10">
      <c r="I786" s="1">
        <v>570126</v>
      </c>
      <c r="J786" s="1" t="s">
        <v>360</v>
      </c>
    </row>
    <row r="787" spans="9:10">
      <c r="I787" s="1">
        <v>57012601</v>
      </c>
      <c r="J787" s="1" t="s">
        <v>361</v>
      </c>
    </row>
    <row r="788" spans="9:10">
      <c r="I788" s="1">
        <v>57012602</v>
      </c>
      <c r="J788" s="1" t="s">
        <v>362</v>
      </c>
    </row>
    <row r="789" spans="9:10">
      <c r="I789" s="1">
        <v>570127</v>
      </c>
      <c r="J789" s="1" t="s">
        <v>363</v>
      </c>
    </row>
    <row r="790" spans="9:10">
      <c r="I790" s="1">
        <v>570128</v>
      </c>
      <c r="J790" s="1" t="s">
        <v>364</v>
      </c>
    </row>
    <row r="791" spans="9:10">
      <c r="I791" s="1">
        <v>570129</v>
      </c>
      <c r="J791" s="1" t="s">
        <v>365</v>
      </c>
    </row>
    <row r="792" spans="9:10">
      <c r="I792" s="1">
        <v>570130</v>
      </c>
      <c r="J792" s="1" t="s">
        <v>366</v>
      </c>
    </row>
    <row r="793" spans="9:10">
      <c r="I793" s="1">
        <v>570131</v>
      </c>
      <c r="J793" s="1" t="s">
        <v>367</v>
      </c>
    </row>
    <row r="794" spans="9:10">
      <c r="I794" s="1">
        <v>570132</v>
      </c>
      <c r="J794" s="1" t="s">
        <v>368</v>
      </c>
    </row>
    <row r="795" spans="9:10">
      <c r="I795" s="1">
        <v>570133</v>
      </c>
      <c r="J795" s="1" t="s">
        <v>369</v>
      </c>
    </row>
    <row r="796" spans="9:10">
      <c r="I796" s="1">
        <v>570134</v>
      </c>
      <c r="J796" s="1" t="s">
        <v>370</v>
      </c>
    </row>
    <row r="797" spans="9:10">
      <c r="I797" s="1">
        <v>570188</v>
      </c>
      <c r="J797" s="1" t="s">
        <v>371</v>
      </c>
    </row>
    <row r="798" spans="9:10">
      <c r="I798" s="1">
        <v>570199</v>
      </c>
      <c r="J798" s="1" t="s">
        <v>372</v>
      </c>
    </row>
    <row r="799" spans="9:10">
      <c r="I799" s="1">
        <v>57019901</v>
      </c>
      <c r="J799" s="1" t="s">
        <v>373</v>
      </c>
    </row>
    <row r="800" spans="9:10">
      <c r="I800" s="1">
        <v>57019911</v>
      </c>
      <c r="J800" s="1" t="s">
        <v>374</v>
      </c>
    </row>
    <row r="801" spans="9:10">
      <c r="I801" s="1">
        <v>57019912</v>
      </c>
      <c r="J801" s="1" t="s">
        <v>375</v>
      </c>
    </row>
    <row r="802" spans="9:10">
      <c r="I802" s="1">
        <v>57019913</v>
      </c>
      <c r="J802" s="1" t="s">
        <v>376</v>
      </c>
    </row>
    <row r="803" spans="9:10">
      <c r="I803" s="1">
        <v>57019914</v>
      </c>
      <c r="J803" s="1" t="s">
        <v>377</v>
      </c>
    </row>
    <row r="804" spans="9:10">
      <c r="I804" s="1">
        <v>57019915</v>
      </c>
      <c r="J804" s="1" t="s">
        <v>378</v>
      </c>
    </row>
    <row r="805" spans="9:10">
      <c r="I805" s="1">
        <v>57019916</v>
      </c>
      <c r="J805" s="1" t="s">
        <v>379</v>
      </c>
    </row>
    <row r="806" spans="9:10">
      <c r="I806" s="1" t="s">
        <v>21</v>
      </c>
      <c r="J806" s="1" t="s">
        <v>380</v>
      </c>
    </row>
    <row r="807" spans="9:10">
      <c r="I807" s="1">
        <v>5801</v>
      </c>
      <c r="J807" s="1" t="s">
        <v>381</v>
      </c>
    </row>
    <row r="808" spans="9:10">
      <c r="I808" s="1">
        <v>580101</v>
      </c>
      <c r="J808" s="1" t="s">
        <v>382</v>
      </c>
    </row>
    <row r="809" spans="9:10">
      <c r="I809" s="1">
        <v>580102</v>
      </c>
      <c r="J809" s="1" t="s">
        <v>383</v>
      </c>
    </row>
    <row r="810" spans="9:10">
      <c r="I810" s="1">
        <v>580103</v>
      </c>
      <c r="J810" s="1" t="s">
        <v>384</v>
      </c>
    </row>
    <row r="811" spans="9:10">
      <c r="I811" s="1">
        <v>580104</v>
      </c>
      <c r="J811" s="1" t="s">
        <v>385</v>
      </c>
    </row>
    <row r="812" spans="9:10">
      <c r="I812" s="1">
        <v>580105</v>
      </c>
      <c r="J812" s="1" t="s">
        <v>386</v>
      </c>
    </row>
    <row r="813" spans="9:10">
      <c r="I813" s="1" t="s">
        <v>22</v>
      </c>
      <c r="J813" s="1" t="s">
        <v>387</v>
      </c>
    </row>
    <row r="814" spans="9:10">
      <c r="I814" s="1" t="s">
        <v>388</v>
      </c>
      <c r="J814" s="1" t="s">
        <v>389</v>
      </c>
    </row>
    <row r="815" spans="9:10">
      <c r="I815" s="1">
        <v>7101</v>
      </c>
      <c r="J815" s="1" t="s">
        <v>390</v>
      </c>
    </row>
    <row r="816" spans="9:10">
      <c r="I816" s="1">
        <v>710101</v>
      </c>
      <c r="J816" s="1" t="s">
        <v>391</v>
      </c>
    </row>
    <row r="817" spans="9:10">
      <c r="I817" s="1">
        <v>710102</v>
      </c>
      <c r="J817" s="1" t="s">
        <v>392</v>
      </c>
    </row>
    <row r="818" spans="9:10">
      <c r="I818" s="1">
        <v>710103</v>
      </c>
      <c r="J818" s="1" t="s">
        <v>393</v>
      </c>
    </row>
    <row r="819" spans="9:10">
      <c r="I819" s="1">
        <v>710104</v>
      </c>
      <c r="J819" s="1" t="s">
        <v>394</v>
      </c>
    </row>
    <row r="820" spans="9:10">
      <c r="I820" s="1">
        <v>710105</v>
      </c>
      <c r="J820" s="1" t="s">
        <v>395</v>
      </c>
    </row>
    <row r="821" spans="9:10">
      <c r="I821" s="1">
        <v>710106</v>
      </c>
      <c r="J821" s="1" t="s">
        <v>396</v>
      </c>
    </row>
    <row r="822" spans="9:10">
      <c r="I822" s="1">
        <v>710109</v>
      </c>
      <c r="J822" s="1" t="s">
        <v>397</v>
      </c>
    </row>
    <row r="823" spans="9:10">
      <c r="I823" s="1">
        <v>7201</v>
      </c>
      <c r="J823" s="1" t="s">
        <v>398</v>
      </c>
    </row>
    <row r="824" spans="9:10">
      <c r="I824" s="1">
        <v>720101</v>
      </c>
      <c r="J824" s="1" t="s">
        <v>399</v>
      </c>
    </row>
    <row r="825" spans="9:10">
      <c r="I825" s="1">
        <v>720102</v>
      </c>
      <c r="J825" s="1" t="s">
        <v>400</v>
      </c>
    </row>
    <row r="826" spans="9:10">
      <c r="I826" s="1">
        <v>720103</v>
      </c>
      <c r="J826" s="1" t="s">
        <v>401</v>
      </c>
    </row>
    <row r="827" spans="9:10">
      <c r="I827" s="1">
        <v>720104</v>
      </c>
      <c r="J827" s="1" t="s">
        <v>402</v>
      </c>
    </row>
    <row r="828" spans="9:10">
      <c r="I828" s="1">
        <v>720105</v>
      </c>
      <c r="J828" s="1" t="s">
        <v>403</v>
      </c>
    </row>
    <row r="829" spans="9:10">
      <c r="I829" s="1">
        <v>720106</v>
      </c>
      <c r="J829" s="1" t="s">
        <v>404</v>
      </c>
    </row>
    <row r="830" spans="9:10">
      <c r="I830" s="1">
        <v>720107</v>
      </c>
      <c r="J830" s="1" t="s">
        <v>405</v>
      </c>
    </row>
    <row r="831" spans="9:10">
      <c r="I831" s="1">
        <v>720108</v>
      </c>
      <c r="J831" s="1" t="s">
        <v>406</v>
      </c>
    </row>
    <row r="832" spans="9:10">
      <c r="I832" s="1">
        <v>720109</v>
      </c>
      <c r="J832" s="1" t="s">
        <v>407</v>
      </c>
    </row>
    <row r="833" spans="9:10">
      <c r="I833" s="1">
        <v>720110</v>
      </c>
      <c r="J833" s="1" t="s">
        <v>408</v>
      </c>
    </row>
    <row r="834" spans="9:10">
      <c r="I834" s="1">
        <v>720111</v>
      </c>
      <c r="J834" s="1" t="s">
        <v>409</v>
      </c>
    </row>
    <row r="835" spans="9:10">
      <c r="I835" s="1">
        <v>720198</v>
      </c>
      <c r="J835" s="1" t="s">
        <v>410</v>
      </c>
    </row>
    <row r="836" spans="9:10">
      <c r="I836" s="1">
        <v>720199</v>
      </c>
      <c r="J836" s="1" t="s">
        <v>411</v>
      </c>
    </row>
    <row r="837" spans="9:10">
      <c r="I837" s="1">
        <v>7301</v>
      </c>
      <c r="J837" s="1" t="s">
        <v>412</v>
      </c>
    </row>
    <row r="838" spans="9:10">
      <c r="I838" s="1">
        <v>7901</v>
      </c>
      <c r="J838" s="1" t="s">
        <v>413</v>
      </c>
    </row>
    <row r="839" spans="9:10">
      <c r="I839" s="1">
        <v>790101</v>
      </c>
      <c r="J839" s="1" t="s">
        <v>413</v>
      </c>
    </row>
    <row r="840" spans="9:10">
      <c r="I840" s="1" t="s">
        <v>25</v>
      </c>
      <c r="J840" s="1" t="s">
        <v>414</v>
      </c>
    </row>
    <row r="841" spans="9:10">
      <c r="I841" s="1" t="s">
        <v>415</v>
      </c>
      <c r="J841" s="1" t="s">
        <v>416</v>
      </c>
    </row>
    <row r="842" spans="9:10">
      <c r="I842" s="1">
        <v>8101</v>
      </c>
      <c r="J842" s="1" t="s">
        <v>417</v>
      </c>
    </row>
    <row r="843" spans="9:10">
      <c r="I843" s="1">
        <v>810101</v>
      </c>
      <c r="J843" s="1" t="s">
        <v>417</v>
      </c>
    </row>
    <row r="844" spans="9:10">
      <c r="I844" s="1" t="s">
        <v>28</v>
      </c>
      <c r="J844" s="1" t="s">
        <v>418</v>
      </c>
    </row>
    <row r="845" spans="9:10">
      <c r="I845" s="1" t="s">
        <v>29</v>
      </c>
      <c r="J845" s="1" t="s">
        <v>419</v>
      </c>
    </row>
    <row r="846" spans="9:10">
      <c r="I846" s="1">
        <v>89990101</v>
      </c>
      <c r="J846" s="1" t="s">
        <v>420</v>
      </c>
    </row>
    <row r="847" spans="9:10">
      <c r="I847" s="1" t="s">
        <v>32</v>
      </c>
      <c r="J847" s="1" t="s">
        <v>421</v>
      </c>
    </row>
    <row r="848" spans="9:10">
      <c r="I848" s="1">
        <v>8999010101</v>
      </c>
      <c r="J848" s="1" t="s">
        <v>422</v>
      </c>
    </row>
    <row r="849" spans="9:10">
      <c r="I849" s="1">
        <v>45000102</v>
      </c>
      <c r="J849" s="1" t="s">
        <v>423</v>
      </c>
    </row>
    <row r="850" spans="9:10">
      <c r="I850" s="1">
        <v>45000202</v>
      </c>
      <c r="J850" s="1" t="s">
        <v>424</v>
      </c>
    </row>
    <row r="851" spans="9:10">
      <c r="I851" s="1" t="s">
        <v>33</v>
      </c>
      <c r="J851" s="1" t="s">
        <v>425</v>
      </c>
    </row>
    <row r="852" spans="9:10">
      <c r="I852" s="1" t="s">
        <v>34</v>
      </c>
      <c r="J852" s="1" t="s">
        <v>426</v>
      </c>
    </row>
    <row r="853" spans="9:10">
      <c r="I853" s="1">
        <v>8999011101</v>
      </c>
      <c r="J853" s="1" t="s">
        <v>427</v>
      </c>
    </row>
    <row r="854" spans="9:10">
      <c r="I854" s="1" t="s">
        <v>428</v>
      </c>
      <c r="J854" s="1" t="s">
        <v>429</v>
      </c>
    </row>
    <row r="855" spans="9:10">
      <c r="I855" s="1">
        <v>450101</v>
      </c>
      <c r="J855" s="1" t="s">
        <v>430</v>
      </c>
    </row>
    <row r="856" spans="9:10">
      <c r="I856" s="1" t="s">
        <v>37</v>
      </c>
      <c r="J856" s="1" t="s">
        <v>431</v>
      </c>
    </row>
    <row r="857" spans="9:10">
      <c r="I857" s="1">
        <v>45010111</v>
      </c>
      <c r="J857" s="1" t="s">
        <v>432</v>
      </c>
    </row>
    <row r="858" spans="9:10">
      <c r="I858" s="1">
        <v>45010112</v>
      </c>
      <c r="J858" s="1" t="s">
        <v>433</v>
      </c>
    </row>
    <row r="859" spans="9:10">
      <c r="I859" s="1">
        <v>45010113</v>
      </c>
      <c r="J859" s="1" t="s">
        <v>434</v>
      </c>
    </row>
    <row r="860" spans="9:10">
      <c r="I860" s="1">
        <v>45010114</v>
      </c>
      <c r="J860" s="1" t="s">
        <v>435</v>
      </c>
    </row>
    <row r="861" spans="9:10">
      <c r="I861" s="1">
        <v>45010115</v>
      </c>
      <c r="J861" s="1" t="s">
        <v>436</v>
      </c>
    </row>
    <row r="862" spans="9:10">
      <c r="I862" s="1">
        <v>45010116</v>
      </c>
      <c r="J862" s="1" t="s">
        <v>437</v>
      </c>
    </row>
    <row r="863" spans="9:10">
      <c r="I863" s="1">
        <v>45010117</v>
      </c>
      <c r="J863" s="1" t="s">
        <v>438</v>
      </c>
    </row>
    <row r="864" spans="9:10">
      <c r="I864" s="1" t="s">
        <v>38</v>
      </c>
      <c r="J864" s="1" t="s">
        <v>439</v>
      </c>
    </row>
    <row r="865" spans="9:10">
      <c r="I865" s="1">
        <v>45010101</v>
      </c>
      <c r="J865" s="1" t="s">
        <v>440</v>
      </c>
    </row>
    <row r="866" spans="9:10">
      <c r="I866" s="1">
        <v>45010102</v>
      </c>
      <c r="J866" s="1" t="s">
        <v>441</v>
      </c>
    </row>
    <row r="867" spans="9:10">
      <c r="I867" s="1">
        <v>45010103</v>
      </c>
      <c r="J867" s="1" t="s">
        <v>442</v>
      </c>
    </row>
    <row r="868" spans="9:10">
      <c r="I868" s="1">
        <v>45010104</v>
      </c>
      <c r="J868" s="1" t="s">
        <v>443</v>
      </c>
    </row>
    <row r="869" spans="9:10">
      <c r="I869" s="1">
        <v>45010105</v>
      </c>
      <c r="J869" s="1" t="s">
        <v>444</v>
      </c>
    </row>
    <row r="870" spans="9:10">
      <c r="I870" s="1">
        <v>45010106</v>
      </c>
      <c r="J870" s="1" t="s">
        <v>445</v>
      </c>
    </row>
    <row r="871" spans="9:10">
      <c r="I871" s="1" t="s">
        <v>39</v>
      </c>
      <c r="J871" s="1" t="s">
        <v>446</v>
      </c>
    </row>
    <row r="872" spans="9:10">
      <c r="I872" s="1" t="s">
        <v>40</v>
      </c>
      <c r="J872" s="1" t="s">
        <v>447</v>
      </c>
    </row>
    <row r="873" spans="9:10">
      <c r="I873" s="1">
        <v>45000301</v>
      </c>
      <c r="J873" s="1" t="s">
        <v>448</v>
      </c>
    </row>
    <row r="874" spans="9:10">
      <c r="I874" s="1" t="s">
        <v>41</v>
      </c>
      <c r="J874" s="1" t="s">
        <v>449</v>
      </c>
    </row>
    <row r="875" spans="9:10">
      <c r="I875" s="1" t="s">
        <v>42</v>
      </c>
      <c r="J875" s="1" t="s">
        <v>450</v>
      </c>
    </row>
    <row r="876" spans="9:10">
      <c r="I876" s="1">
        <v>89990102</v>
      </c>
      <c r="J876" s="1" t="s">
        <v>451</v>
      </c>
    </row>
    <row r="877" spans="9:10">
      <c r="I877" s="1" t="s">
        <v>43</v>
      </c>
      <c r="J877" s="1" t="s">
        <v>452</v>
      </c>
    </row>
    <row r="878" spans="9:10">
      <c r="I878" s="1" t="s">
        <v>44</v>
      </c>
      <c r="J878" s="1" t="s">
        <v>453</v>
      </c>
    </row>
    <row r="879" spans="9:10">
      <c r="I879" s="1">
        <v>45000103</v>
      </c>
      <c r="J879" s="1" t="s">
        <v>454</v>
      </c>
    </row>
    <row r="880" spans="9:10">
      <c r="I880" s="1">
        <v>45000203</v>
      </c>
      <c r="J880" s="1" t="s">
        <v>455</v>
      </c>
    </row>
    <row r="881" spans="9:10">
      <c r="I881" s="1" t="s">
        <v>45</v>
      </c>
      <c r="J881" s="1" t="s">
        <v>456</v>
      </c>
    </row>
    <row r="882" spans="9:10">
      <c r="I882" s="1" t="s">
        <v>46</v>
      </c>
      <c r="J882" s="1" t="s">
        <v>457</v>
      </c>
    </row>
    <row r="883" spans="9:10">
      <c r="I883" s="1" t="s">
        <v>47</v>
      </c>
      <c r="J883" s="1" t="s">
        <v>458</v>
      </c>
    </row>
    <row r="884" spans="9:10">
      <c r="I884" s="1" t="s">
        <v>459</v>
      </c>
      <c r="J884" s="1" t="s">
        <v>460</v>
      </c>
    </row>
    <row r="885" spans="9:10">
      <c r="I885" s="1">
        <v>4501</v>
      </c>
      <c r="J885" s="1" t="s">
        <v>461</v>
      </c>
    </row>
    <row r="886" spans="9:10">
      <c r="I886" s="1" t="s">
        <v>50</v>
      </c>
      <c r="J886" s="1" t="s">
        <v>462</v>
      </c>
    </row>
    <row r="887" spans="9:10">
      <c r="I887" s="1">
        <v>450103</v>
      </c>
      <c r="J887" s="1" t="s">
        <v>463</v>
      </c>
    </row>
    <row r="888" spans="9:10">
      <c r="I888" s="1">
        <v>450104</v>
      </c>
      <c r="J888" s="1" t="s">
        <v>464</v>
      </c>
    </row>
    <row r="889" spans="9:10">
      <c r="I889" s="1">
        <v>450105</v>
      </c>
      <c r="J889" s="1" t="s">
        <v>465</v>
      </c>
    </row>
    <row r="890" spans="9:10">
      <c r="I890" s="1">
        <v>450106</v>
      </c>
      <c r="J890" s="1" t="s">
        <v>466</v>
      </c>
    </row>
    <row r="891" spans="9:10">
      <c r="I891" s="1">
        <v>450107</v>
      </c>
      <c r="J891" s="1" t="s">
        <v>467</v>
      </c>
    </row>
    <row r="892" spans="9:10">
      <c r="I892" s="1">
        <v>45010701</v>
      </c>
      <c r="J892" s="1" t="s">
        <v>468</v>
      </c>
    </row>
    <row r="893" spans="9:10">
      <c r="I893" s="1">
        <v>45010702</v>
      </c>
      <c r="J893" s="1" t="s">
        <v>469</v>
      </c>
    </row>
    <row r="894" spans="9:10">
      <c r="I894" s="1">
        <v>450108</v>
      </c>
      <c r="J894" s="1" t="s">
        <v>470</v>
      </c>
    </row>
    <row r="895" spans="9:10">
      <c r="I895" s="1">
        <v>450110</v>
      </c>
      <c r="J895" s="1" t="s">
        <v>471</v>
      </c>
    </row>
    <row r="896" spans="9:10">
      <c r="I896" s="1">
        <v>450111</v>
      </c>
      <c r="J896" s="1" t="s">
        <v>472</v>
      </c>
    </row>
    <row r="897" spans="9:10">
      <c r="I897" s="1">
        <v>450112</v>
      </c>
      <c r="J897" s="1" t="s">
        <v>473</v>
      </c>
    </row>
    <row r="898" spans="9:10">
      <c r="I898" s="1">
        <v>450113</v>
      </c>
      <c r="J898" s="1" t="s">
        <v>474</v>
      </c>
    </row>
    <row r="899" spans="9:10">
      <c r="I899" s="1">
        <v>450114</v>
      </c>
      <c r="J899" s="1" t="s">
        <v>475</v>
      </c>
    </row>
    <row r="900" spans="9:10">
      <c r="I900" s="1">
        <v>450117</v>
      </c>
      <c r="J900" s="1" t="s">
        <v>476</v>
      </c>
    </row>
    <row r="901" spans="9:10">
      <c r="I901" s="1">
        <v>450118</v>
      </c>
      <c r="J901" s="1" t="s">
        <v>477</v>
      </c>
    </row>
    <row r="902" spans="9:10">
      <c r="I902" s="1">
        <v>450119</v>
      </c>
      <c r="J902" s="1" t="s">
        <v>478</v>
      </c>
    </row>
    <row r="903" spans="9:10">
      <c r="I903" s="1">
        <v>45011901</v>
      </c>
      <c r="J903" s="1" t="s">
        <v>479</v>
      </c>
    </row>
    <row r="904" spans="9:10">
      <c r="I904" s="1">
        <v>45011902</v>
      </c>
      <c r="J904" s="1" t="s">
        <v>480</v>
      </c>
    </row>
    <row r="905" spans="9:10">
      <c r="I905" s="1">
        <v>450120</v>
      </c>
      <c r="J905" s="1" t="s">
        <v>481</v>
      </c>
    </row>
    <row r="906" spans="9:10">
      <c r="I906" s="1">
        <v>450121</v>
      </c>
      <c r="J906" s="1" t="s">
        <v>482</v>
      </c>
    </row>
    <row r="907" spans="9:10">
      <c r="I907" s="1">
        <v>450122</v>
      </c>
      <c r="J907" s="1" t="s">
        <v>483</v>
      </c>
    </row>
    <row r="908" spans="9:10">
      <c r="I908" s="1">
        <v>450123</v>
      </c>
      <c r="J908" s="1" t="s">
        <v>484</v>
      </c>
    </row>
    <row r="909" spans="9:10">
      <c r="I909" s="1">
        <v>450124</v>
      </c>
      <c r="J909" s="1" t="s">
        <v>485</v>
      </c>
    </row>
    <row r="910" spans="9:10">
      <c r="I910" s="1">
        <v>450125</v>
      </c>
      <c r="J910" s="1" t="s">
        <v>486</v>
      </c>
    </row>
    <row r="911" spans="9:10">
      <c r="I911" s="1">
        <v>45012501</v>
      </c>
      <c r="J911" s="1" t="s">
        <v>487</v>
      </c>
    </row>
    <row r="912" spans="9:10">
      <c r="I912" s="1">
        <v>45012509</v>
      </c>
      <c r="J912" s="1" t="s">
        <v>488</v>
      </c>
    </row>
    <row r="913" spans="9:10">
      <c r="I913" s="1">
        <v>450126</v>
      </c>
      <c r="J913" s="1" t="s">
        <v>489</v>
      </c>
    </row>
    <row r="914" spans="9:10">
      <c r="I914" s="1">
        <v>45012601</v>
      </c>
      <c r="J914" s="1" t="s">
        <v>490</v>
      </c>
    </row>
    <row r="915" spans="9:10">
      <c r="I915" s="1">
        <v>45012602</v>
      </c>
      <c r="J915" s="1" t="s">
        <v>491</v>
      </c>
    </row>
    <row r="916" spans="9:10">
      <c r="I916" s="1">
        <v>450127</v>
      </c>
      <c r="J916" s="1" t="s">
        <v>492</v>
      </c>
    </row>
    <row r="917" spans="9:10">
      <c r="I917" s="1">
        <v>450128</v>
      </c>
      <c r="J917" s="1" t="s">
        <v>493</v>
      </c>
    </row>
    <row r="918" spans="9:10">
      <c r="I918" s="1">
        <v>450131</v>
      </c>
      <c r="J918" s="1" t="s">
        <v>494</v>
      </c>
    </row>
    <row r="919" spans="9:10">
      <c r="I919" s="1">
        <v>450132</v>
      </c>
      <c r="J919" s="1" t="s">
        <v>495</v>
      </c>
    </row>
    <row r="920" spans="9:10">
      <c r="I920" s="1">
        <v>450133</v>
      </c>
      <c r="J920" s="1" t="s">
        <v>496</v>
      </c>
    </row>
    <row r="921" spans="9:10">
      <c r="I921" s="1">
        <v>450134</v>
      </c>
      <c r="J921" s="1" t="s">
        <v>497</v>
      </c>
    </row>
    <row r="922" spans="9:10">
      <c r="I922" s="1">
        <v>450188</v>
      </c>
      <c r="J922" s="1" t="s">
        <v>498</v>
      </c>
    </row>
    <row r="923" spans="9:10">
      <c r="I923" s="1" t="s">
        <v>51</v>
      </c>
      <c r="J923" s="1" t="s">
        <v>499</v>
      </c>
    </row>
    <row r="924" spans="9:10">
      <c r="I924" s="1" t="s">
        <v>52</v>
      </c>
      <c r="J924" s="1" t="s">
        <v>500</v>
      </c>
    </row>
    <row r="925" spans="9:10">
      <c r="I925" s="1">
        <v>450102</v>
      </c>
      <c r="J925" s="1" t="s">
        <v>501</v>
      </c>
    </row>
    <row r="926" spans="9:10">
      <c r="I926" s="1">
        <v>450109</v>
      </c>
      <c r="J926" s="1" t="s">
        <v>502</v>
      </c>
    </row>
    <row r="927" spans="9:10">
      <c r="I927" s="1">
        <v>45010901</v>
      </c>
      <c r="J927" s="1" t="s">
        <v>503</v>
      </c>
    </row>
    <row r="928" spans="9:10">
      <c r="I928" s="1">
        <v>45010902</v>
      </c>
      <c r="J928" s="1" t="s">
        <v>504</v>
      </c>
    </row>
    <row r="929" spans="9:10">
      <c r="I929" s="1">
        <v>45010903</v>
      </c>
      <c r="J929" s="1" t="s">
        <v>505</v>
      </c>
    </row>
    <row r="930" spans="9:10">
      <c r="I930" s="1">
        <v>450115</v>
      </c>
      <c r="J930" s="1" t="s">
        <v>506</v>
      </c>
    </row>
    <row r="931" spans="9:10">
      <c r="I931" s="1">
        <v>450116</v>
      </c>
      <c r="J931" s="1" t="s">
        <v>507</v>
      </c>
    </row>
    <row r="932" spans="9:10">
      <c r="I932" s="1">
        <v>45011601</v>
      </c>
      <c r="J932" s="1" t="s">
        <v>508</v>
      </c>
    </row>
    <row r="933" spans="9:10">
      <c r="I933" s="1">
        <v>45011602</v>
      </c>
      <c r="J933" s="1" t="s">
        <v>509</v>
      </c>
    </row>
    <row r="934" spans="9:10">
      <c r="I934" s="1">
        <v>45011603</v>
      </c>
      <c r="J934" s="1" t="s">
        <v>510</v>
      </c>
    </row>
    <row r="935" spans="9:10">
      <c r="I935" s="1">
        <v>450130</v>
      </c>
      <c r="J935" s="1" t="s">
        <v>511</v>
      </c>
    </row>
    <row r="936" spans="9:10">
      <c r="I936" s="1">
        <v>450199</v>
      </c>
      <c r="J936" s="1" t="s">
        <v>512</v>
      </c>
    </row>
    <row r="937" spans="9:10">
      <c r="I937" s="1">
        <v>45019901</v>
      </c>
      <c r="J937" s="1" t="s">
        <v>513</v>
      </c>
    </row>
    <row r="938" spans="9:10">
      <c r="I938" s="1">
        <v>45019902</v>
      </c>
      <c r="J938" s="1" t="s">
        <v>514</v>
      </c>
    </row>
    <row r="939" spans="9:10">
      <c r="I939" s="1">
        <v>45019903</v>
      </c>
      <c r="J939" s="1" t="s">
        <v>515</v>
      </c>
    </row>
    <row r="940" spans="9:10">
      <c r="I940" s="1">
        <v>45019904</v>
      </c>
      <c r="J940" s="1" t="s">
        <v>516</v>
      </c>
    </row>
    <row r="941" spans="9:10">
      <c r="I941" s="1">
        <v>45019905</v>
      </c>
      <c r="J941" s="1" t="s">
        <v>517</v>
      </c>
    </row>
    <row r="942" spans="9:10">
      <c r="I942" s="1">
        <v>45019911</v>
      </c>
      <c r="J942" s="1" t="s">
        <v>518</v>
      </c>
    </row>
    <row r="943" spans="9:10">
      <c r="I943" s="1">
        <v>45019912</v>
      </c>
      <c r="J943" s="1" t="s">
        <v>519</v>
      </c>
    </row>
    <row r="944" spans="9:10">
      <c r="I944" s="1">
        <v>45019913</v>
      </c>
      <c r="J944" s="1" t="s">
        <v>520</v>
      </c>
    </row>
    <row r="945" spans="9:10">
      <c r="I945" s="1">
        <v>45019914</v>
      </c>
      <c r="J945" s="1" t="s">
        <v>521</v>
      </c>
    </row>
    <row r="946" spans="9:10">
      <c r="I946" s="1">
        <v>45019915</v>
      </c>
      <c r="J946" s="1" t="s">
        <v>522</v>
      </c>
    </row>
    <row r="947" spans="9:10">
      <c r="I947" s="1">
        <v>45019921</v>
      </c>
      <c r="J947" s="1" t="s">
        <v>523</v>
      </c>
    </row>
    <row r="948" spans="9:10">
      <c r="I948" s="1">
        <v>45019922</v>
      </c>
      <c r="J948" s="1" t="s">
        <v>524</v>
      </c>
    </row>
    <row r="949" spans="9:10">
      <c r="I949" s="1">
        <v>45019923</v>
      </c>
      <c r="J949" s="1" t="s">
        <v>525</v>
      </c>
    </row>
    <row r="950" spans="9:10">
      <c r="I950" s="1">
        <v>45019924</v>
      </c>
      <c r="J950" s="1" t="s">
        <v>526</v>
      </c>
    </row>
    <row r="951" spans="9:10">
      <c r="I951" s="1">
        <v>45019925</v>
      </c>
      <c r="J951" s="1" t="s">
        <v>527</v>
      </c>
    </row>
    <row r="952" spans="9:10">
      <c r="I952" s="1">
        <v>45019926</v>
      </c>
      <c r="J952" s="1" t="s">
        <v>528</v>
      </c>
    </row>
    <row r="953" spans="9:10">
      <c r="I953" s="1">
        <v>45019927</v>
      </c>
      <c r="J953" s="1" t="s">
        <v>529</v>
      </c>
    </row>
    <row r="954" spans="9:10">
      <c r="I954" s="1" t="s">
        <v>53</v>
      </c>
      <c r="J954" s="1" t="s">
        <v>530</v>
      </c>
    </row>
    <row r="955" spans="9:10">
      <c r="I955" s="1" t="s">
        <v>54</v>
      </c>
      <c r="J955" s="1" t="s">
        <v>531</v>
      </c>
    </row>
    <row r="956" spans="9:10">
      <c r="I956" s="1" t="s">
        <v>55</v>
      </c>
      <c r="J956" s="1" t="s">
        <v>532</v>
      </c>
    </row>
    <row r="957" spans="9:10">
      <c r="I957" s="1" t="s">
        <v>56</v>
      </c>
      <c r="J957" s="1" t="s">
        <v>533</v>
      </c>
    </row>
    <row r="958" spans="9:10">
      <c r="I958" s="1">
        <v>45000302</v>
      </c>
      <c r="J958" s="1" t="s">
        <v>534</v>
      </c>
    </row>
    <row r="959" spans="9:10">
      <c r="I959" s="1">
        <v>45000105</v>
      </c>
      <c r="J959" s="1" t="s">
        <v>535</v>
      </c>
    </row>
    <row r="960" spans="9:10">
      <c r="I960" s="1">
        <v>45000205</v>
      </c>
      <c r="J960" s="1" t="s">
        <v>536</v>
      </c>
    </row>
    <row r="961" spans="9:10">
      <c r="I961" s="1" t="s">
        <v>57</v>
      </c>
      <c r="J961" s="1" t="s">
        <v>537</v>
      </c>
    </row>
    <row r="962" spans="9:10">
      <c r="I962" s="1" t="s">
        <v>58</v>
      </c>
      <c r="J962" s="1" t="s">
        <v>538</v>
      </c>
    </row>
    <row r="963" spans="9:10">
      <c r="I963" s="1">
        <v>45000304</v>
      </c>
      <c r="J963" s="1" t="s">
        <v>539</v>
      </c>
    </row>
    <row r="964" spans="9:10">
      <c r="I964" s="1" t="s">
        <v>59</v>
      </c>
      <c r="J964" s="1" t="s">
        <v>540</v>
      </c>
    </row>
    <row r="965" spans="9:10">
      <c r="I965" s="1" t="s">
        <v>60</v>
      </c>
      <c r="J965" s="1" t="s">
        <v>541</v>
      </c>
    </row>
    <row r="966" spans="9:10">
      <c r="I966" s="1" t="s">
        <v>0</v>
      </c>
      <c r="J966" s="1" t="s">
        <v>61</v>
      </c>
    </row>
    <row r="967" spans="9:10">
      <c r="I967" s="1">
        <v>5101</v>
      </c>
      <c r="J967" s="1" t="s">
        <v>62</v>
      </c>
    </row>
    <row r="968" spans="9:10">
      <c r="I968" s="1">
        <v>510101</v>
      </c>
      <c r="J968" s="1" t="s">
        <v>63</v>
      </c>
    </row>
    <row r="969" spans="9:10">
      <c r="I969" s="1">
        <v>510102</v>
      </c>
      <c r="J969" s="1" t="s">
        <v>64</v>
      </c>
    </row>
    <row r="970" spans="9:10">
      <c r="I970" s="1">
        <v>510103</v>
      </c>
      <c r="J970" s="1" t="s">
        <v>65</v>
      </c>
    </row>
    <row r="971" spans="9:10">
      <c r="I971" s="1">
        <v>51010301</v>
      </c>
      <c r="J971" s="1" t="s">
        <v>66</v>
      </c>
    </row>
    <row r="972" spans="9:10">
      <c r="I972" s="1">
        <v>51010302</v>
      </c>
      <c r="J972" s="1" t="s">
        <v>67</v>
      </c>
    </row>
    <row r="973" spans="9:10">
      <c r="I973" s="1">
        <v>51010303</v>
      </c>
      <c r="J973" s="1" t="s">
        <v>68</v>
      </c>
    </row>
    <row r="974" spans="9:10">
      <c r="I974" s="1">
        <v>51010304</v>
      </c>
      <c r="J974" s="1" t="s">
        <v>69</v>
      </c>
    </row>
    <row r="975" spans="9:10">
      <c r="I975" s="1">
        <v>51010305</v>
      </c>
      <c r="J975" s="1" t="s">
        <v>70</v>
      </c>
    </row>
    <row r="976" spans="9:10">
      <c r="I976" s="1">
        <v>510109</v>
      </c>
      <c r="J976" s="1" t="s">
        <v>71</v>
      </c>
    </row>
    <row r="977" spans="9:10">
      <c r="I977" s="1">
        <v>5111</v>
      </c>
      <c r="J977" s="1" t="s">
        <v>72</v>
      </c>
    </row>
    <row r="978" spans="9:10">
      <c r="I978" s="1">
        <v>511102</v>
      </c>
      <c r="J978" s="1" t="s">
        <v>73</v>
      </c>
    </row>
    <row r="979" spans="9:10">
      <c r="I979" s="1">
        <v>511103</v>
      </c>
      <c r="J979" s="1" t="s">
        <v>74</v>
      </c>
    </row>
    <row r="980" spans="9:10">
      <c r="I980" s="1">
        <v>511101</v>
      </c>
      <c r="J980" s="1" t="s">
        <v>75</v>
      </c>
    </row>
    <row r="981" spans="9:10">
      <c r="I981" s="1">
        <v>51110301</v>
      </c>
      <c r="J981" s="1" t="s">
        <v>76</v>
      </c>
    </row>
    <row r="982" spans="9:10">
      <c r="I982" s="1">
        <v>51110302</v>
      </c>
      <c r="J982" s="1" t="s">
        <v>77</v>
      </c>
    </row>
    <row r="983" spans="9:10">
      <c r="I983" s="1">
        <v>51110303</v>
      </c>
      <c r="J983" s="1" t="s">
        <v>78</v>
      </c>
    </row>
    <row r="984" spans="9:10">
      <c r="I984" s="1">
        <v>51110304</v>
      </c>
      <c r="J984" s="1" t="s">
        <v>79</v>
      </c>
    </row>
    <row r="985" spans="9:10">
      <c r="I985" s="1">
        <v>51110305</v>
      </c>
      <c r="J985" s="1" t="s">
        <v>80</v>
      </c>
    </row>
    <row r="986" spans="9:10">
      <c r="I986" s="1">
        <v>5121</v>
      </c>
      <c r="J986" s="1" t="s">
        <v>81</v>
      </c>
    </row>
    <row r="987" spans="9:10">
      <c r="I987" s="1">
        <v>512101</v>
      </c>
      <c r="J987" s="1" t="s">
        <v>82</v>
      </c>
    </row>
    <row r="988" spans="9:10">
      <c r="I988" s="1">
        <v>512102</v>
      </c>
      <c r="J988" s="1" t="s">
        <v>83</v>
      </c>
    </row>
    <row r="989" spans="9:10">
      <c r="I989" s="1">
        <v>512103</v>
      </c>
      <c r="J989" s="1" t="s">
        <v>84</v>
      </c>
    </row>
    <row r="990" spans="9:10">
      <c r="I990" s="1" t="s">
        <v>1</v>
      </c>
      <c r="J990" s="1" t="s">
        <v>85</v>
      </c>
    </row>
    <row r="991" spans="9:10">
      <c r="I991" s="1">
        <v>4101</v>
      </c>
      <c r="J991" s="1" t="s">
        <v>86</v>
      </c>
    </row>
    <row r="992" spans="9:10">
      <c r="I992" s="1">
        <v>410101</v>
      </c>
      <c r="J992" s="1" t="s">
        <v>87</v>
      </c>
    </row>
    <row r="993" spans="9:10">
      <c r="I993" s="1">
        <v>410102</v>
      </c>
      <c r="J993" s="1" t="s">
        <v>88</v>
      </c>
    </row>
    <row r="994" spans="9:10">
      <c r="I994" s="1">
        <v>410103</v>
      </c>
      <c r="J994" s="1" t="s">
        <v>89</v>
      </c>
    </row>
    <row r="995" spans="9:10">
      <c r="I995" s="1">
        <v>41010301</v>
      </c>
      <c r="J995" s="1" t="s">
        <v>90</v>
      </c>
    </row>
    <row r="996" spans="9:10">
      <c r="I996" s="1">
        <v>41010302</v>
      </c>
      <c r="J996" s="1" t="s">
        <v>91</v>
      </c>
    </row>
    <row r="997" spans="9:10">
      <c r="I997" s="1">
        <v>41010303</v>
      </c>
      <c r="J997" s="1" t="s">
        <v>92</v>
      </c>
    </row>
    <row r="998" spans="9:10">
      <c r="I998" s="1">
        <v>41010304</v>
      </c>
      <c r="J998" s="1" t="s">
        <v>93</v>
      </c>
    </row>
    <row r="999" spans="9:10">
      <c r="I999" s="1">
        <v>41010305</v>
      </c>
      <c r="J999" s="1" t="s">
        <v>94</v>
      </c>
    </row>
    <row r="1000" spans="9:10">
      <c r="I1000" s="1">
        <v>410109</v>
      </c>
      <c r="J1000" s="1" t="s">
        <v>95</v>
      </c>
    </row>
    <row r="1001" spans="9:10">
      <c r="I1001" s="1">
        <v>4111</v>
      </c>
      <c r="J1001" s="1" t="s">
        <v>96</v>
      </c>
    </row>
    <row r="1002" spans="9:10">
      <c r="I1002" s="1">
        <v>411101</v>
      </c>
      <c r="J1002" s="1" t="s">
        <v>97</v>
      </c>
    </row>
    <row r="1003" spans="9:10">
      <c r="I1003" s="1">
        <v>411102</v>
      </c>
      <c r="J1003" s="1" t="s">
        <v>98</v>
      </c>
    </row>
    <row r="1004" spans="9:10">
      <c r="I1004" s="1">
        <v>411103</v>
      </c>
      <c r="J1004" s="1" t="s">
        <v>99</v>
      </c>
    </row>
    <row r="1005" spans="9:10">
      <c r="I1005" s="1">
        <v>41110301</v>
      </c>
      <c r="J1005" s="1" t="s">
        <v>100</v>
      </c>
    </row>
    <row r="1006" spans="9:10">
      <c r="I1006" s="1">
        <v>41110302</v>
      </c>
      <c r="J1006" s="1" t="s">
        <v>101</v>
      </c>
    </row>
    <row r="1007" spans="9:10">
      <c r="I1007" s="1">
        <v>41110303</v>
      </c>
      <c r="J1007" s="1" t="s">
        <v>100</v>
      </c>
    </row>
    <row r="1008" spans="9:10">
      <c r="I1008" s="1">
        <v>41110304</v>
      </c>
      <c r="J1008" s="1" t="s">
        <v>102</v>
      </c>
    </row>
    <row r="1009" spans="9:10">
      <c r="I1009" s="1">
        <v>41110305</v>
      </c>
      <c r="J1009" s="1" t="s">
        <v>103</v>
      </c>
    </row>
    <row r="1010" spans="9:10">
      <c r="I1010" s="1" t="s">
        <v>2</v>
      </c>
      <c r="J1010" s="1" t="s">
        <v>104</v>
      </c>
    </row>
    <row r="1011" spans="9:10">
      <c r="I1011" s="1" t="s">
        <v>105</v>
      </c>
      <c r="J1011" s="1" t="s">
        <v>106</v>
      </c>
    </row>
    <row r="1012" spans="9:10">
      <c r="I1012" s="1">
        <v>41019901</v>
      </c>
      <c r="J1012" s="1" t="s">
        <v>107</v>
      </c>
    </row>
    <row r="1013" spans="9:10">
      <c r="I1013" s="1" t="s">
        <v>5</v>
      </c>
      <c r="J1013" s="1" t="s">
        <v>108</v>
      </c>
    </row>
    <row r="1014" spans="9:10">
      <c r="I1014" s="1" t="s">
        <v>109</v>
      </c>
      <c r="J1014" s="1" t="s">
        <v>110</v>
      </c>
    </row>
    <row r="1015" spans="9:10">
      <c r="I1015" s="1" t="s">
        <v>12</v>
      </c>
      <c r="J1015" s="1" t="s">
        <v>111</v>
      </c>
    </row>
    <row r="1016" spans="9:10">
      <c r="I1016" s="1" t="s">
        <v>13</v>
      </c>
      <c r="J1016" s="1" t="s">
        <v>112</v>
      </c>
    </row>
    <row r="1017" spans="9:10">
      <c r="I1017" s="1">
        <v>89990904</v>
      </c>
      <c r="J1017" s="1" t="s">
        <v>113</v>
      </c>
    </row>
    <row r="1018" spans="9:10">
      <c r="I1018" s="1">
        <v>89990902</v>
      </c>
      <c r="J1018" s="1" t="s">
        <v>20</v>
      </c>
    </row>
    <row r="1019" spans="9:10">
      <c r="I1019" s="1">
        <v>89990903</v>
      </c>
      <c r="J1019" s="1" t="s">
        <v>114</v>
      </c>
    </row>
    <row r="1020" spans="9:10">
      <c r="I1020" s="1">
        <v>41019902</v>
      </c>
      <c r="J1020" s="1" t="s">
        <v>115</v>
      </c>
    </row>
    <row r="1021" spans="9:10">
      <c r="I1021" s="1">
        <v>41019903</v>
      </c>
      <c r="J1021" s="1" t="s">
        <v>116</v>
      </c>
    </row>
    <row r="1022" spans="9:10">
      <c r="I1022" s="1">
        <v>41019904</v>
      </c>
      <c r="J1022" s="1" t="s">
        <v>117</v>
      </c>
    </row>
    <row r="1023" spans="9:10">
      <c r="I1023" s="1">
        <v>41019905</v>
      </c>
      <c r="J1023" s="1" t="s">
        <v>118</v>
      </c>
    </row>
    <row r="1024" spans="9:10">
      <c r="I1024" s="1" t="s">
        <v>14</v>
      </c>
      <c r="J1024" s="1" t="s">
        <v>119</v>
      </c>
    </row>
    <row r="1025" spans="9:10">
      <c r="I1025" s="1" t="s">
        <v>15</v>
      </c>
      <c r="J1025" s="1" t="s">
        <v>120</v>
      </c>
    </row>
    <row r="1026" spans="9:10">
      <c r="I1026" s="1">
        <v>5102</v>
      </c>
      <c r="J1026" s="1" t="s">
        <v>121</v>
      </c>
    </row>
    <row r="1027" spans="9:10">
      <c r="I1027" s="1">
        <v>510201</v>
      </c>
      <c r="J1027" s="1" t="s">
        <v>122</v>
      </c>
    </row>
    <row r="1028" spans="9:10">
      <c r="I1028" s="1">
        <v>510202</v>
      </c>
      <c r="J1028" s="1" t="s">
        <v>123</v>
      </c>
    </row>
    <row r="1029" spans="9:10">
      <c r="I1029" s="1">
        <v>510211</v>
      </c>
      <c r="J1029" s="1" t="s">
        <v>124</v>
      </c>
    </row>
    <row r="1030" spans="9:10">
      <c r="I1030" s="1">
        <v>510221</v>
      </c>
      <c r="J1030" s="1" t="s">
        <v>125</v>
      </c>
    </row>
    <row r="1031" spans="9:10">
      <c r="I1031" s="1">
        <v>510271</v>
      </c>
      <c r="J1031" s="1" t="s">
        <v>126</v>
      </c>
    </row>
    <row r="1032" spans="9:10">
      <c r="I1032" s="1">
        <v>510281</v>
      </c>
      <c r="J1032" s="1" t="s">
        <v>127</v>
      </c>
    </row>
    <row r="1033" spans="9:10">
      <c r="I1033" s="1">
        <v>510291</v>
      </c>
      <c r="J1033" s="1" t="s">
        <v>128</v>
      </c>
    </row>
    <row r="1034" spans="9:10">
      <c r="I1034" s="1">
        <v>4102</v>
      </c>
      <c r="J1034" s="1" t="s">
        <v>129</v>
      </c>
    </row>
    <row r="1035" spans="9:10">
      <c r="I1035" s="1">
        <v>410201</v>
      </c>
      <c r="J1035" s="1" t="s">
        <v>130</v>
      </c>
    </row>
    <row r="1036" spans="9:10">
      <c r="I1036" s="1">
        <v>410202</v>
      </c>
      <c r="J1036" s="1" t="s">
        <v>131</v>
      </c>
    </row>
    <row r="1037" spans="9:10">
      <c r="I1037" s="1">
        <v>410211</v>
      </c>
      <c r="J1037" s="1" t="s">
        <v>132</v>
      </c>
    </row>
    <row r="1038" spans="9:10">
      <c r="I1038" s="1">
        <v>410221</v>
      </c>
      <c r="J1038" s="1" t="s">
        <v>133</v>
      </c>
    </row>
    <row r="1039" spans="9:10">
      <c r="I1039" s="1">
        <v>410291</v>
      </c>
      <c r="J1039" s="1" t="s">
        <v>134</v>
      </c>
    </row>
    <row r="1040" spans="9:10">
      <c r="I1040" s="1">
        <v>4112</v>
      </c>
      <c r="J1040" s="1" t="s">
        <v>135</v>
      </c>
    </row>
    <row r="1041" spans="9:10">
      <c r="I1041" s="1">
        <v>411201</v>
      </c>
      <c r="J1041" s="1" t="s">
        <v>136</v>
      </c>
    </row>
    <row r="1042" spans="9:10">
      <c r="I1042" s="1">
        <v>411202</v>
      </c>
      <c r="J1042" s="1" t="s">
        <v>137</v>
      </c>
    </row>
    <row r="1043" spans="9:10">
      <c r="I1043" s="1">
        <v>411203</v>
      </c>
      <c r="J1043" s="1" t="s">
        <v>138</v>
      </c>
    </row>
    <row r="1044" spans="9:10">
      <c r="I1044" s="1">
        <v>411204</v>
      </c>
      <c r="J1044" s="1" t="s">
        <v>139</v>
      </c>
    </row>
    <row r="1045" spans="9:10">
      <c r="I1045" s="1">
        <v>411205</v>
      </c>
      <c r="J1045" s="1" t="s">
        <v>140</v>
      </c>
    </row>
    <row r="1046" spans="9:10">
      <c r="I1046" s="1">
        <v>4113</v>
      </c>
      <c r="J1046" s="1" t="s">
        <v>141</v>
      </c>
    </row>
    <row r="1047" spans="9:10">
      <c r="I1047" s="1">
        <v>411301</v>
      </c>
      <c r="J1047" s="1" t="s">
        <v>141</v>
      </c>
    </row>
    <row r="1048" spans="9:10">
      <c r="I1048" s="1" t="s">
        <v>6</v>
      </c>
      <c r="J1048" s="1" t="s">
        <v>16</v>
      </c>
    </row>
    <row r="1049" spans="9:10">
      <c r="I1049" s="1" t="s">
        <v>142</v>
      </c>
      <c r="J1049" s="1" t="s">
        <v>17</v>
      </c>
    </row>
    <row r="1050" spans="9:10">
      <c r="I1050" s="1">
        <v>5501</v>
      </c>
      <c r="J1050" s="1" t="s">
        <v>143</v>
      </c>
    </row>
    <row r="1051" spans="9:10">
      <c r="I1051" s="1">
        <v>550101</v>
      </c>
      <c r="J1051" s="1" t="s">
        <v>144</v>
      </c>
    </row>
    <row r="1052" spans="9:10">
      <c r="I1052" s="1">
        <v>55010101</v>
      </c>
      <c r="J1052" s="1" t="s">
        <v>145</v>
      </c>
    </row>
    <row r="1053" spans="9:10">
      <c r="I1053" s="1">
        <v>55010102</v>
      </c>
      <c r="J1053" s="1" t="s">
        <v>146</v>
      </c>
    </row>
    <row r="1054" spans="9:10">
      <c r="I1054" s="1">
        <v>55010103</v>
      </c>
      <c r="J1054" s="1" t="s">
        <v>147</v>
      </c>
    </row>
    <row r="1055" spans="9:10">
      <c r="I1055" s="1">
        <v>550102</v>
      </c>
      <c r="J1055" s="1" t="s">
        <v>148</v>
      </c>
    </row>
    <row r="1056" spans="9:10">
      <c r="I1056" s="1">
        <v>550103</v>
      </c>
      <c r="J1056" s="1" t="s">
        <v>149</v>
      </c>
    </row>
    <row r="1057" spans="9:10">
      <c r="I1057" s="1">
        <v>550104</v>
      </c>
      <c r="J1057" s="1" t="s">
        <v>150</v>
      </c>
    </row>
    <row r="1058" spans="9:10">
      <c r="I1058" s="1">
        <v>550105</v>
      </c>
      <c r="J1058" s="1" t="s">
        <v>151</v>
      </c>
    </row>
    <row r="1059" spans="9:10">
      <c r="I1059" s="1">
        <v>550106</v>
      </c>
      <c r="J1059" s="1" t="s">
        <v>152</v>
      </c>
    </row>
    <row r="1060" spans="9:10">
      <c r="I1060" s="1">
        <v>550107</v>
      </c>
      <c r="J1060" s="1" t="s">
        <v>153</v>
      </c>
    </row>
    <row r="1061" spans="9:10">
      <c r="I1061" s="1">
        <v>550108</v>
      </c>
      <c r="J1061" s="1" t="s">
        <v>154</v>
      </c>
    </row>
    <row r="1062" spans="9:10">
      <c r="I1062" s="1">
        <v>550109</v>
      </c>
      <c r="J1062" s="1" t="s">
        <v>155</v>
      </c>
    </row>
    <row r="1063" spans="9:10">
      <c r="I1063" s="1">
        <v>55010901</v>
      </c>
      <c r="J1063" s="1" t="s">
        <v>156</v>
      </c>
    </row>
    <row r="1064" spans="9:10">
      <c r="I1064" s="1">
        <v>55010902</v>
      </c>
      <c r="J1064" s="1" t="s">
        <v>157</v>
      </c>
    </row>
    <row r="1065" spans="9:10">
      <c r="I1065" s="1">
        <v>55010903</v>
      </c>
      <c r="J1065" s="1" t="s">
        <v>158</v>
      </c>
    </row>
    <row r="1066" spans="9:10">
      <c r="I1066" s="1">
        <v>550110</v>
      </c>
      <c r="J1066" s="1" t="s">
        <v>159</v>
      </c>
    </row>
    <row r="1067" spans="9:10">
      <c r="I1067" s="1">
        <v>550111</v>
      </c>
      <c r="J1067" s="1" t="s">
        <v>160</v>
      </c>
    </row>
    <row r="1068" spans="9:10">
      <c r="I1068" s="1">
        <v>550112</v>
      </c>
      <c r="J1068" s="1" t="s">
        <v>161</v>
      </c>
    </row>
    <row r="1069" spans="9:10">
      <c r="I1069" s="1">
        <v>550113</v>
      </c>
      <c r="J1069" s="1" t="s">
        <v>162</v>
      </c>
    </row>
    <row r="1070" spans="9:10">
      <c r="I1070" s="1">
        <v>550114</v>
      </c>
      <c r="J1070" s="1" t="s">
        <v>163</v>
      </c>
    </row>
    <row r="1071" spans="9:10">
      <c r="I1071" s="1">
        <v>550115</v>
      </c>
      <c r="J1071" s="1" t="s">
        <v>164</v>
      </c>
    </row>
    <row r="1072" spans="9:10">
      <c r="I1072" s="1">
        <v>550116</v>
      </c>
      <c r="J1072" s="1" t="s">
        <v>165</v>
      </c>
    </row>
    <row r="1073" spans="9:10">
      <c r="I1073" s="1">
        <v>55011601</v>
      </c>
      <c r="J1073" s="1" t="s">
        <v>166</v>
      </c>
    </row>
    <row r="1074" spans="9:10">
      <c r="I1074" s="1">
        <v>55011602</v>
      </c>
      <c r="J1074" s="1" t="s">
        <v>167</v>
      </c>
    </row>
    <row r="1075" spans="9:10">
      <c r="I1075" s="1">
        <v>55011603</v>
      </c>
      <c r="J1075" s="1" t="s">
        <v>168</v>
      </c>
    </row>
    <row r="1076" spans="9:10">
      <c r="I1076" s="1">
        <v>550117</v>
      </c>
      <c r="J1076" s="1" t="s">
        <v>169</v>
      </c>
    </row>
    <row r="1077" spans="9:10">
      <c r="I1077" s="1">
        <v>550118</v>
      </c>
      <c r="J1077" s="1" t="s">
        <v>170</v>
      </c>
    </row>
    <row r="1078" spans="9:10">
      <c r="I1078" s="1">
        <v>550119</v>
      </c>
      <c r="J1078" s="1" t="s">
        <v>171</v>
      </c>
    </row>
    <row r="1079" spans="9:10">
      <c r="I1079" s="1">
        <v>55011901</v>
      </c>
      <c r="J1079" s="1" t="s">
        <v>172</v>
      </c>
    </row>
    <row r="1080" spans="9:10">
      <c r="I1080" s="1">
        <v>55011902</v>
      </c>
      <c r="J1080" s="1" t="s">
        <v>173</v>
      </c>
    </row>
    <row r="1081" spans="9:10">
      <c r="I1081" s="1">
        <v>550120</v>
      </c>
      <c r="J1081" s="1" t="s">
        <v>174</v>
      </c>
    </row>
    <row r="1082" spans="9:10">
      <c r="I1082" s="1">
        <v>550121</v>
      </c>
      <c r="J1082" s="1" t="s">
        <v>175</v>
      </c>
    </row>
    <row r="1083" spans="9:10">
      <c r="I1083" s="1">
        <v>550122</v>
      </c>
      <c r="J1083" s="1" t="s">
        <v>176</v>
      </c>
    </row>
    <row r="1084" spans="9:10">
      <c r="I1084" s="1">
        <v>55012201</v>
      </c>
      <c r="J1084" s="1" t="s">
        <v>177</v>
      </c>
    </row>
    <row r="1085" spans="9:10">
      <c r="I1085" s="1">
        <v>55012202</v>
      </c>
      <c r="J1085" s="1" t="s">
        <v>178</v>
      </c>
    </row>
    <row r="1086" spans="9:10">
      <c r="I1086" s="1">
        <v>550123</v>
      </c>
      <c r="J1086" s="1" t="s">
        <v>179</v>
      </c>
    </row>
    <row r="1087" spans="9:10">
      <c r="I1087" s="1">
        <v>550124</v>
      </c>
      <c r="J1087" s="1" t="s">
        <v>180</v>
      </c>
    </row>
    <row r="1088" spans="9:10">
      <c r="I1088" s="1">
        <v>550125</v>
      </c>
      <c r="J1088" s="1" t="s">
        <v>181</v>
      </c>
    </row>
    <row r="1089" spans="9:10">
      <c r="I1089" s="1">
        <v>55012501</v>
      </c>
      <c r="J1089" s="1" t="s">
        <v>182</v>
      </c>
    </row>
    <row r="1090" spans="9:10">
      <c r="I1090" s="1">
        <v>55012509</v>
      </c>
      <c r="J1090" s="1" t="s">
        <v>183</v>
      </c>
    </row>
    <row r="1091" spans="9:10">
      <c r="I1091" s="1">
        <v>550126</v>
      </c>
      <c r="J1091" s="1" t="s">
        <v>184</v>
      </c>
    </row>
    <row r="1092" spans="9:10">
      <c r="I1092" s="1">
        <v>55012601</v>
      </c>
      <c r="J1092" s="1" t="s">
        <v>185</v>
      </c>
    </row>
    <row r="1093" spans="9:10">
      <c r="I1093" s="1">
        <v>55012602</v>
      </c>
      <c r="J1093" s="1" t="s">
        <v>186</v>
      </c>
    </row>
    <row r="1094" spans="9:10">
      <c r="I1094" s="1">
        <v>550127</v>
      </c>
      <c r="J1094" s="1" t="s">
        <v>187</v>
      </c>
    </row>
    <row r="1095" spans="9:10">
      <c r="I1095" s="1">
        <v>550128</v>
      </c>
      <c r="J1095" s="1" t="s">
        <v>188</v>
      </c>
    </row>
    <row r="1096" spans="9:10">
      <c r="I1096" s="1">
        <v>550130</v>
      </c>
      <c r="J1096" s="1" t="s">
        <v>189</v>
      </c>
    </row>
    <row r="1097" spans="9:10">
      <c r="I1097" s="1">
        <v>550131</v>
      </c>
      <c r="J1097" s="1" t="s">
        <v>190</v>
      </c>
    </row>
    <row r="1098" spans="9:10">
      <c r="I1098" s="1">
        <v>550132</v>
      </c>
      <c r="J1098" s="1" t="s">
        <v>191</v>
      </c>
    </row>
    <row r="1099" spans="9:10">
      <c r="I1099" s="1">
        <v>550133</v>
      </c>
      <c r="J1099" s="1" t="s">
        <v>192</v>
      </c>
    </row>
    <row r="1100" spans="9:10">
      <c r="I1100" s="1">
        <v>550134</v>
      </c>
      <c r="J1100" s="1" t="s">
        <v>193</v>
      </c>
    </row>
    <row r="1101" spans="9:10">
      <c r="I1101" s="1">
        <v>550188</v>
      </c>
      <c r="J1101" s="1" t="s">
        <v>194</v>
      </c>
    </row>
    <row r="1102" spans="9:10">
      <c r="I1102" s="1">
        <v>550199</v>
      </c>
      <c r="J1102" s="1" t="s">
        <v>195</v>
      </c>
    </row>
    <row r="1103" spans="9:10">
      <c r="I1103" s="1">
        <v>55019901</v>
      </c>
      <c r="J1103" s="1" t="s">
        <v>196</v>
      </c>
    </row>
    <row r="1104" spans="9:10">
      <c r="I1104" s="1">
        <v>55019911</v>
      </c>
      <c r="J1104" s="1" t="s">
        <v>197</v>
      </c>
    </row>
    <row r="1105" spans="9:10">
      <c r="I1105" s="1">
        <v>55019912</v>
      </c>
      <c r="J1105" s="1" t="s">
        <v>198</v>
      </c>
    </row>
    <row r="1106" spans="9:10">
      <c r="I1106" s="1">
        <v>55019913</v>
      </c>
      <c r="J1106" s="1" t="s">
        <v>199</v>
      </c>
    </row>
    <row r="1107" spans="9:10">
      <c r="I1107" s="1">
        <v>55019914</v>
      </c>
      <c r="J1107" s="1" t="s">
        <v>200</v>
      </c>
    </row>
    <row r="1108" spans="9:10">
      <c r="I1108" s="1">
        <v>55019915</v>
      </c>
      <c r="J1108" s="1" t="s">
        <v>201</v>
      </c>
    </row>
    <row r="1109" spans="9:10">
      <c r="I1109" s="1">
        <v>55019916</v>
      </c>
      <c r="J1109" s="1" t="s">
        <v>202</v>
      </c>
    </row>
    <row r="1110" spans="9:10">
      <c r="I1110" s="1" t="s">
        <v>18</v>
      </c>
      <c r="J1110" s="1" t="s">
        <v>203</v>
      </c>
    </row>
    <row r="1111" spans="9:10">
      <c r="I1111" s="1">
        <v>5601</v>
      </c>
      <c r="J1111" s="1" t="s">
        <v>204</v>
      </c>
    </row>
    <row r="1112" spans="9:10">
      <c r="I1112" s="1" t="s">
        <v>205</v>
      </c>
      <c r="J1112" s="1" t="s">
        <v>204</v>
      </c>
    </row>
    <row r="1113" spans="9:10">
      <c r="I1113" s="1">
        <v>560101</v>
      </c>
      <c r="J1113" s="1" t="s">
        <v>206</v>
      </c>
    </row>
    <row r="1114" spans="9:10">
      <c r="I1114" s="1">
        <v>56010101</v>
      </c>
      <c r="J1114" s="1" t="s">
        <v>207</v>
      </c>
    </row>
    <row r="1115" spans="9:10">
      <c r="I1115" s="1">
        <v>56010102</v>
      </c>
      <c r="J1115" s="1" t="s">
        <v>208</v>
      </c>
    </row>
    <row r="1116" spans="9:10">
      <c r="I1116" s="1">
        <v>56010103</v>
      </c>
      <c r="J1116" s="1" t="s">
        <v>209</v>
      </c>
    </row>
    <row r="1117" spans="9:10">
      <c r="I1117" s="1">
        <v>56010104</v>
      </c>
      <c r="J1117" s="1" t="s">
        <v>210</v>
      </c>
    </row>
    <row r="1118" spans="9:10">
      <c r="I1118" s="1">
        <v>560102</v>
      </c>
      <c r="J1118" s="1" t="s">
        <v>211</v>
      </c>
    </row>
    <row r="1119" spans="9:10">
      <c r="I1119" s="1">
        <v>560103</v>
      </c>
      <c r="J1119" s="1" t="s">
        <v>212</v>
      </c>
    </row>
    <row r="1120" spans="9:10">
      <c r="I1120" s="1">
        <v>560104</v>
      </c>
      <c r="J1120" s="1" t="s">
        <v>213</v>
      </c>
    </row>
    <row r="1121" spans="9:10">
      <c r="I1121" s="1">
        <v>560105</v>
      </c>
      <c r="J1121" s="1" t="s">
        <v>214</v>
      </c>
    </row>
    <row r="1122" spans="9:10">
      <c r="I1122" s="1">
        <v>560106</v>
      </c>
      <c r="J1122" s="1" t="s">
        <v>215</v>
      </c>
    </row>
    <row r="1123" spans="9:10">
      <c r="I1123" s="1">
        <v>560107</v>
      </c>
      <c r="J1123" s="1" t="s">
        <v>216</v>
      </c>
    </row>
    <row r="1124" spans="9:10">
      <c r="I1124" s="1">
        <v>560108</v>
      </c>
      <c r="J1124" s="1" t="s">
        <v>217</v>
      </c>
    </row>
    <row r="1125" spans="9:10">
      <c r="I1125" s="1">
        <v>560109</v>
      </c>
      <c r="J1125" s="1" t="s">
        <v>218</v>
      </c>
    </row>
    <row r="1126" spans="9:10">
      <c r="I1126" s="1">
        <v>56010901</v>
      </c>
      <c r="J1126" s="1" t="s">
        <v>219</v>
      </c>
    </row>
    <row r="1127" spans="9:10">
      <c r="I1127" s="1">
        <v>56010902</v>
      </c>
      <c r="J1127" s="1" t="s">
        <v>220</v>
      </c>
    </row>
    <row r="1128" spans="9:10">
      <c r="I1128" s="1">
        <v>56010903</v>
      </c>
      <c r="J1128" s="1" t="s">
        <v>221</v>
      </c>
    </row>
    <row r="1129" spans="9:10">
      <c r="I1129" s="1">
        <v>560110</v>
      </c>
      <c r="J1129" s="1" t="s">
        <v>222</v>
      </c>
    </row>
    <row r="1130" spans="9:10">
      <c r="I1130" s="1">
        <v>56011001</v>
      </c>
      <c r="J1130" s="1" t="s">
        <v>223</v>
      </c>
    </row>
    <row r="1131" spans="9:10">
      <c r="I1131" s="1">
        <v>56011002</v>
      </c>
      <c r="J1131" s="1" t="s">
        <v>224</v>
      </c>
    </row>
    <row r="1132" spans="9:10">
      <c r="I1132" s="1">
        <v>56011003</v>
      </c>
      <c r="J1132" s="1" t="s">
        <v>225</v>
      </c>
    </row>
    <row r="1133" spans="9:10">
      <c r="I1133" s="1">
        <v>56011004</v>
      </c>
      <c r="J1133" s="1" t="s">
        <v>226</v>
      </c>
    </row>
    <row r="1134" spans="9:10">
      <c r="I1134" s="1">
        <v>56011005</v>
      </c>
      <c r="J1134" s="1" t="s">
        <v>227</v>
      </c>
    </row>
    <row r="1135" spans="9:10">
      <c r="I1135" s="1">
        <v>56011006</v>
      </c>
      <c r="J1135" s="1" t="s">
        <v>228</v>
      </c>
    </row>
    <row r="1136" spans="9:10">
      <c r="I1136" s="1">
        <v>56011007</v>
      </c>
      <c r="J1136" s="1" t="s">
        <v>229</v>
      </c>
    </row>
    <row r="1137" spans="9:10">
      <c r="I1137" s="1">
        <v>56011008</v>
      </c>
      <c r="J1137" s="1" t="s">
        <v>230</v>
      </c>
    </row>
    <row r="1138" spans="9:10">
      <c r="I1138" s="1">
        <v>56011009</v>
      </c>
      <c r="J1138" s="1" t="s">
        <v>231</v>
      </c>
    </row>
    <row r="1139" spans="9:10">
      <c r="I1139" s="1">
        <v>560111</v>
      </c>
      <c r="J1139" s="1" t="s">
        <v>232</v>
      </c>
    </row>
    <row r="1140" spans="9:10">
      <c r="I1140" s="1">
        <v>560112</v>
      </c>
      <c r="J1140" s="1" t="s">
        <v>233</v>
      </c>
    </row>
    <row r="1141" spans="9:10">
      <c r="I1141" s="1">
        <v>560113</v>
      </c>
      <c r="J1141" s="1" t="s">
        <v>234</v>
      </c>
    </row>
    <row r="1142" spans="9:10">
      <c r="I1142" s="1">
        <v>56011301</v>
      </c>
      <c r="J1142" s="1" t="s">
        <v>235</v>
      </c>
    </row>
    <row r="1143" spans="9:10">
      <c r="I1143" s="1">
        <v>5601130101</v>
      </c>
      <c r="J1143" s="1" t="s">
        <v>236</v>
      </c>
    </row>
    <row r="1144" spans="9:10">
      <c r="I1144" s="1">
        <v>5601130102</v>
      </c>
      <c r="J1144" s="1" t="s">
        <v>237</v>
      </c>
    </row>
    <row r="1145" spans="9:10">
      <c r="I1145" s="1">
        <v>5601130103</v>
      </c>
      <c r="J1145" s="1" t="s">
        <v>238</v>
      </c>
    </row>
    <row r="1146" spans="9:10">
      <c r="I1146" s="1">
        <v>5601130104</v>
      </c>
      <c r="J1146" s="1" t="s">
        <v>239</v>
      </c>
    </row>
    <row r="1147" spans="9:10">
      <c r="I1147" s="1">
        <v>5601130105</v>
      </c>
      <c r="J1147" s="1" t="s">
        <v>240</v>
      </c>
    </row>
    <row r="1148" spans="9:10">
      <c r="I1148" s="1">
        <v>5601130106</v>
      </c>
      <c r="J1148" s="1" t="s">
        <v>241</v>
      </c>
    </row>
    <row r="1149" spans="9:10">
      <c r="I1149" s="1">
        <v>5601130107</v>
      </c>
      <c r="J1149" s="1" t="s">
        <v>242</v>
      </c>
    </row>
    <row r="1150" spans="9:10">
      <c r="I1150" s="1">
        <v>5601130108</v>
      </c>
      <c r="J1150" s="1" t="s">
        <v>243</v>
      </c>
    </row>
    <row r="1151" spans="9:10">
      <c r="I1151" s="1">
        <v>56011302</v>
      </c>
      <c r="J1151" s="1" t="s">
        <v>244</v>
      </c>
    </row>
    <row r="1152" spans="9:10">
      <c r="I1152" s="1">
        <v>56011303</v>
      </c>
      <c r="J1152" s="1" t="s">
        <v>245</v>
      </c>
    </row>
    <row r="1153" spans="9:10">
      <c r="I1153" s="1">
        <v>560114</v>
      </c>
      <c r="J1153" s="1" t="s">
        <v>246</v>
      </c>
    </row>
    <row r="1154" spans="9:10">
      <c r="I1154" s="1">
        <v>560115</v>
      </c>
      <c r="J1154" s="1" t="s">
        <v>247</v>
      </c>
    </row>
    <row r="1155" spans="9:10">
      <c r="I1155" s="1">
        <v>560116</v>
      </c>
      <c r="J1155" s="1" t="s">
        <v>248</v>
      </c>
    </row>
    <row r="1156" spans="9:10">
      <c r="I1156" s="1">
        <v>56011601</v>
      </c>
      <c r="J1156" s="1" t="s">
        <v>249</v>
      </c>
    </row>
    <row r="1157" spans="9:10">
      <c r="I1157" s="1">
        <v>56011602</v>
      </c>
      <c r="J1157" s="1" t="s">
        <v>250</v>
      </c>
    </row>
    <row r="1158" spans="9:10">
      <c r="I1158" s="1">
        <v>56011603</v>
      </c>
      <c r="J1158" s="1" t="s">
        <v>251</v>
      </c>
    </row>
    <row r="1159" spans="9:10">
      <c r="I1159" s="1">
        <v>560117</v>
      </c>
      <c r="J1159" s="1" t="s">
        <v>252</v>
      </c>
    </row>
    <row r="1160" spans="9:10">
      <c r="I1160" s="1">
        <v>560118</v>
      </c>
      <c r="J1160" s="1" t="s">
        <v>253</v>
      </c>
    </row>
    <row r="1161" spans="9:10">
      <c r="I1161" s="1">
        <v>56011801</v>
      </c>
      <c r="J1161" s="1" t="s">
        <v>253</v>
      </c>
    </row>
    <row r="1162" spans="9:10">
      <c r="I1162" s="1">
        <v>560119</v>
      </c>
      <c r="J1162" s="1" t="s">
        <v>254</v>
      </c>
    </row>
    <row r="1163" spans="9:10">
      <c r="I1163" s="1">
        <v>56011901</v>
      </c>
      <c r="J1163" s="1" t="s">
        <v>255</v>
      </c>
    </row>
    <row r="1164" spans="9:10">
      <c r="I1164" s="1">
        <v>56011902</v>
      </c>
      <c r="J1164" s="1" t="s">
        <v>256</v>
      </c>
    </row>
    <row r="1165" spans="9:10">
      <c r="I1165" s="1">
        <v>560120</v>
      </c>
      <c r="J1165" s="1" t="s">
        <v>257</v>
      </c>
    </row>
    <row r="1166" spans="9:10">
      <c r="I1166" s="1">
        <v>560121</v>
      </c>
      <c r="J1166" s="1" t="s">
        <v>258</v>
      </c>
    </row>
    <row r="1167" spans="9:10">
      <c r="I1167" s="1">
        <v>560122</v>
      </c>
      <c r="J1167" s="1" t="s">
        <v>259</v>
      </c>
    </row>
    <row r="1168" spans="9:10">
      <c r="I1168" s="1">
        <v>560123</v>
      </c>
      <c r="J1168" s="1" t="s">
        <v>260</v>
      </c>
    </row>
    <row r="1169" spans="9:10">
      <c r="I1169" s="1">
        <v>560124</v>
      </c>
      <c r="J1169" s="1" t="s">
        <v>261</v>
      </c>
    </row>
    <row r="1170" spans="9:10">
      <c r="I1170" s="1">
        <v>56012401</v>
      </c>
      <c r="J1170" s="1" t="s">
        <v>262</v>
      </c>
    </row>
    <row r="1171" spans="9:10">
      <c r="I1171" s="1">
        <v>56012402</v>
      </c>
      <c r="J1171" s="1" t="s">
        <v>263</v>
      </c>
    </row>
    <row r="1172" spans="9:10">
      <c r="I1172" s="1">
        <v>56012403</v>
      </c>
      <c r="J1172" s="1" t="s">
        <v>264</v>
      </c>
    </row>
    <row r="1173" spans="9:10">
      <c r="I1173" s="1">
        <v>56012404</v>
      </c>
      <c r="J1173" s="1" t="s">
        <v>265</v>
      </c>
    </row>
    <row r="1174" spans="9:10">
      <c r="I1174" s="1">
        <v>56012405</v>
      </c>
      <c r="J1174" s="1" t="s">
        <v>266</v>
      </c>
    </row>
    <row r="1175" spans="9:10">
      <c r="I1175" s="1">
        <v>56012408</v>
      </c>
      <c r="J1175" s="1" t="s">
        <v>267</v>
      </c>
    </row>
    <row r="1176" spans="9:10">
      <c r="I1176" s="1">
        <v>560125</v>
      </c>
      <c r="J1176" s="1" t="s">
        <v>268</v>
      </c>
    </row>
    <row r="1177" spans="9:10">
      <c r="I1177" s="1">
        <v>56012501</v>
      </c>
      <c r="J1177" s="1" t="s">
        <v>269</v>
      </c>
    </row>
    <row r="1178" spans="9:10">
      <c r="I1178" s="1">
        <v>56012509</v>
      </c>
      <c r="J1178" s="1" t="s">
        <v>270</v>
      </c>
    </row>
    <row r="1179" spans="9:10">
      <c r="I1179" s="1">
        <v>560126</v>
      </c>
      <c r="J1179" s="1" t="s">
        <v>271</v>
      </c>
    </row>
    <row r="1180" spans="9:10">
      <c r="I1180" s="1">
        <v>56012601</v>
      </c>
      <c r="J1180" s="1" t="s">
        <v>272</v>
      </c>
    </row>
    <row r="1181" spans="9:10">
      <c r="I1181" s="1">
        <v>56012602</v>
      </c>
      <c r="J1181" s="1" t="s">
        <v>273</v>
      </c>
    </row>
    <row r="1182" spans="9:10">
      <c r="I1182" s="1">
        <v>560127</v>
      </c>
      <c r="J1182" s="1" t="s">
        <v>274</v>
      </c>
    </row>
    <row r="1183" spans="9:10">
      <c r="I1183" s="1">
        <v>560128</v>
      </c>
      <c r="J1183" s="1" t="s">
        <v>275</v>
      </c>
    </row>
    <row r="1184" spans="9:10">
      <c r="I1184" s="1">
        <v>560129</v>
      </c>
      <c r="J1184" s="1" t="s">
        <v>276</v>
      </c>
    </row>
    <row r="1185" spans="9:10">
      <c r="I1185" s="1">
        <v>560130</v>
      </c>
      <c r="J1185" s="1" t="s">
        <v>277</v>
      </c>
    </row>
    <row r="1186" spans="9:10">
      <c r="I1186" s="1" t="s">
        <v>278</v>
      </c>
      <c r="J1186" s="1" t="s">
        <v>277</v>
      </c>
    </row>
    <row r="1187" spans="9:10">
      <c r="I1187" s="1">
        <v>56013001</v>
      </c>
      <c r="J1187" s="1" t="s">
        <v>279</v>
      </c>
    </row>
    <row r="1188" spans="9:10">
      <c r="I1188" s="1">
        <v>56013002</v>
      </c>
      <c r="J1188" s="1" t="s">
        <v>280</v>
      </c>
    </row>
    <row r="1189" spans="9:10">
      <c r="I1189" s="1">
        <v>56013003</v>
      </c>
      <c r="J1189" s="1" t="s">
        <v>281</v>
      </c>
    </row>
    <row r="1190" spans="9:10">
      <c r="I1190" s="1" t="s">
        <v>282</v>
      </c>
      <c r="J1190" s="1" t="s">
        <v>279</v>
      </c>
    </row>
    <row r="1191" spans="9:10">
      <c r="I1191" s="1" t="s">
        <v>283</v>
      </c>
      <c r="J1191" s="1" t="s">
        <v>280</v>
      </c>
    </row>
    <row r="1192" spans="9:10">
      <c r="I1192" s="1" t="s">
        <v>284</v>
      </c>
      <c r="J1192" s="1" t="s">
        <v>281</v>
      </c>
    </row>
    <row r="1193" spans="9:10">
      <c r="I1193" s="1">
        <v>560131</v>
      </c>
      <c r="J1193" s="1" t="s">
        <v>285</v>
      </c>
    </row>
    <row r="1194" spans="9:10">
      <c r="I1194" s="1">
        <v>560132</v>
      </c>
      <c r="J1194" s="1" t="s">
        <v>286</v>
      </c>
    </row>
    <row r="1195" spans="9:10">
      <c r="I1195" s="1">
        <v>560133</v>
      </c>
      <c r="J1195" s="1" t="s">
        <v>287</v>
      </c>
    </row>
    <row r="1196" spans="9:10">
      <c r="I1196" s="1">
        <v>560134</v>
      </c>
      <c r="J1196" s="1" t="s">
        <v>288</v>
      </c>
    </row>
    <row r="1197" spans="9:10">
      <c r="I1197" s="1">
        <v>560188</v>
      </c>
      <c r="J1197" s="1" t="s">
        <v>289</v>
      </c>
    </row>
    <row r="1198" spans="9:10">
      <c r="I1198" s="1">
        <v>560199</v>
      </c>
      <c r="J1198" s="1" t="s">
        <v>290</v>
      </c>
    </row>
    <row r="1199" spans="9:10">
      <c r="I1199" s="1">
        <v>56019901</v>
      </c>
      <c r="J1199" s="1" t="s">
        <v>291</v>
      </c>
    </row>
    <row r="1200" spans="9:10">
      <c r="I1200" s="1">
        <v>56019902</v>
      </c>
      <c r="J1200" s="1" t="s">
        <v>292</v>
      </c>
    </row>
    <row r="1201" spans="9:10">
      <c r="I1201" s="1">
        <v>56019903</v>
      </c>
      <c r="J1201" s="1" t="s">
        <v>293</v>
      </c>
    </row>
    <row r="1202" spans="9:10">
      <c r="I1202" s="1">
        <v>56019904</v>
      </c>
      <c r="J1202" s="1" t="s">
        <v>294</v>
      </c>
    </row>
    <row r="1203" spans="9:10">
      <c r="I1203" s="1">
        <v>56019905</v>
      </c>
      <c r="J1203" s="1" t="s">
        <v>295</v>
      </c>
    </row>
    <row r="1204" spans="9:10">
      <c r="I1204" s="1">
        <v>56019906</v>
      </c>
      <c r="J1204" s="1" t="s">
        <v>296</v>
      </c>
    </row>
    <row r="1205" spans="9:10">
      <c r="I1205" s="1">
        <v>56019907</v>
      </c>
      <c r="J1205" s="1" t="s">
        <v>297</v>
      </c>
    </row>
    <row r="1206" spans="9:10">
      <c r="I1206" s="1">
        <v>56019909</v>
      </c>
      <c r="J1206" s="1" t="s">
        <v>298</v>
      </c>
    </row>
    <row r="1207" spans="9:10">
      <c r="I1207" s="1">
        <v>56019911</v>
      </c>
      <c r="J1207" s="1" t="s">
        <v>299</v>
      </c>
    </row>
    <row r="1208" spans="9:10">
      <c r="I1208" s="1">
        <v>56019912</v>
      </c>
      <c r="J1208" s="1" t="s">
        <v>300</v>
      </c>
    </row>
    <row r="1209" spans="9:10">
      <c r="I1209" s="1">
        <v>56019913</v>
      </c>
      <c r="J1209" s="1" t="s">
        <v>301</v>
      </c>
    </row>
    <row r="1210" spans="9:10">
      <c r="I1210" s="1">
        <v>56019914</v>
      </c>
      <c r="J1210" s="1" t="s">
        <v>302</v>
      </c>
    </row>
    <row r="1211" spans="9:10">
      <c r="I1211" s="1">
        <v>56019915</v>
      </c>
      <c r="J1211" s="1" t="s">
        <v>303</v>
      </c>
    </row>
    <row r="1212" spans="9:10">
      <c r="I1212" s="1">
        <v>56019924</v>
      </c>
      <c r="J1212" s="1" t="s">
        <v>304</v>
      </c>
    </row>
    <row r="1213" spans="9:10">
      <c r="I1213" s="1">
        <v>56019925</v>
      </c>
      <c r="J1213" s="1" t="s">
        <v>305</v>
      </c>
    </row>
    <row r="1214" spans="9:10">
      <c r="I1214" s="1">
        <v>56019928</v>
      </c>
      <c r="J1214" s="1" t="s">
        <v>306</v>
      </c>
    </row>
    <row r="1215" spans="9:10">
      <c r="I1215" s="1">
        <v>56019929</v>
      </c>
      <c r="J1215" s="1" t="s">
        <v>307</v>
      </c>
    </row>
    <row r="1216" spans="9:10">
      <c r="I1216" s="1">
        <v>56019930</v>
      </c>
      <c r="J1216" s="1" t="s">
        <v>308</v>
      </c>
    </row>
    <row r="1217" spans="9:10">
      <c r="I1217" s="1">
        <v>56019931</v>
      </c>
      <c r="J1217" s="1" t="s">
        <v>309</v>
      </c>
    </row>
    <row r="1218" spans="9:10">
      <c r="I1218" s="1">
        <v>56019932</v>
      </c>
      <c r="J1218" s="1" t="s">
        <v>310</v>
      </c>
    </row>
    <row r="1219" spans="9:10">
      <c r="I1219" s="1">
        <v>56019933</v>
      </c>
      <c r="J1219" s="1" t="s">
        <v>311</v>
      </c>
    </row>
    <row r="1220" spans="9:10">
      <c r="I1220" s="1">
        <v>56019934</v>
      </c>
      <c r="J1220" s="1" t="s">
        <v>312</v>
      </c>
    </row>
    <row r="1221" spans="9:10">
      <c r="I1221" s="1">
        <v>56019935</v>
      </c>
      <c r="J1221" s="1" t="s">
        <v>313</v>
      </c>
    </row>
    <row r="1222" spans="9:10">
      <c r="I1222" s="1">
        <v>56019981</v>
      </c>
      <c r="J1222" s="1" t="s">
        <v>314</v>
      </c>
    </row>
    <row r="1223" spans="9:10">
      <c r="I1223" s="1">
        <v>56019982</v>
      </c>
      <c r="J1223" s="1" t="s">
        <v>315</v>
      </c>
    </row>
    <row r="1224" spans="9:10">
      <c r="I1224" s="1">
        <v>56019983</v>
      </c>
      <c r="J1224" s="1" t="s">
        <v>316</v>
      </c>
    </row>
    <row r="1225" spans="9:10">
      <c r="I1225" s="1">
        <v>56019984</v>
      </c>
      <c r="J1225" s="1" t="s">
        <v>317</v>
      </c>
    </row>
    <row r="1226" spans="9:10">
      <c r="I1226" s="1">
        <v>56019985</v>
      </c>
      <c r="J1226" s="1" t="s">
        <v>318</v>
      </c>
    </row>
    <row r="1227" spans="9:10">
      <c r="I1227" s="1">
        <v>56019999</v>
      </c>
      <c r="J1227" s="1" t="s">
        <v>319</v>
      </c>
    </row>
    <row r="1228" spans="9:10">
      <c r="I1228" s="1" t="s">
        <v>19</v>
      </c>
      <c r="J1228" s="1" t="s">
        <v>320</v>
      </c>
    </row>
    <row r="1229" spans="9:10">
      <c r="I1229" s="1">
        <v>5701</v>
      </c>
      <c r="J1229" s="1" t="s">
        <v>321</v>
      </c>
    </row>
    <row r="1230" spans="9:10">
      <c r="I1230" s="1">
        <v>570101</v>
      </c>
      <c r="J1230" s="1" t="s">
        <v>322</v>
      </c>
    </row>
    <row r="1231" spans="9:10">
      <c r="I1231" s="1">
        <v>57010101</v>
      </c>
      <c r="J1231" s="1" t="s">
        <v>323</v>
      </c>
    </row>
    <row r="1232" spans="9:10">
      <c r="I1232" s="1">
        <v>57010102</v>
      </c>
      <c r="J1232" s="1" t="s">
        <v>324</v>
      </c>
    </row>
    <row r="1233" spans="9:10">
      <c r="I1233" s="1">
        <v>57010103</v>
      </c>
      <c r="J1233" s="1" t="s">
        <v>325</v>
      </c>
    </row>
    <row r="1234" spans="9:10">
      <c r="I1234" s="1">
        <v>570102</v>
      </c>
      <c r="J1234" s="1" t="s">
        <v>326</v>
      </c>
    </row>
    <row r="1235" spans="9:10">
      <c r="I1235" s="1">
        <v>570103</v>
      </c>
      <c r="J1235" s="1" t="s">
        <v>327</v>
      </c>
    </row>
    <row r="1236" spans="9:10">
      <c r="I1236" s="1">
        <v>570104</v>
      </c>
      <c r="J1236" s="1" t="s">
        <v>328</v>
      </c>
    </row>
    <row r="1237" spans="9:10">
      <c r="I1237" s="1">
        <v>570105</v>
      </c>
      <c r="J1237" s="1" t="s">
        <v>329</v>
      </c>
    </row>
    <row r="1238" spans="9:10">
      <c r="I1238" s="1">
        <v>570106</v>
      </c>
      <c r="J1238" s="1" t="s">
        <v>330</v>
      </c>
    </row>
    <row r="1239" spans="9:10">
      <c r="I1239" s="1">
        <v>570107</v>
      </c>
      <c r="J1239" s="1" t="s">
        <v>331</v>
      </c>
    </row>
    <row r="1240" spans="9:10">
      <c r="I1240" s="1">
        <v>570108</v>
      </c>
      <c r="J1240" s="1" t="s">
        <v>332</v>
      </c>
    </row>
    <row r="1241" spans="9:10">
      <c r="I1241" s="1">
        <v>570109</v>
      </c>
      <c r="J1241" s="1" t="s">
        <v>333</v>
      </c>
    </row>
    <row r="1242" spans="9:10">
      <c r="I1242" s="1">
        <v>57010901</v>
      </c>
      <c r="J1242" s="1" t="s">
        <v>334</v>
      </c>
    </row>
    <row r="1243" spans="9:10">
      <c r="I1243" s="1">
        <v>57010902</v>
      </c>
      <c r="J1243" s="1" t="s">
        <v>335</v>
      </c>
    </row>
    <row r="1244" spans="9:10">
      <c r="I1244" s="1">
        <v>57010903</v>
      </c>
      <c r="J1244" s="1" t="s">
        <v>336</v>
      </c>
    </row>
    <row r="1245" spans="9:10">
      <c r="I1245" s="1">
        <v>570110</v>
      </c>
      <c r="J1245" s="1" t="s">
        <v>337</v>
      </c>
    </row>
    <row r="1246" spans="9:10">
      <c r="I1246" s="1">
        <v>570111</v>
      </c>
      <c r="J1246" s="1" t="s">
        <v>338</v>
      </c>
    </row>
    <row r="1247" spans="9:10">
      <c r="I1247" s="1">
        <v>570112</v>
      </c>
      <c r="J1247" s="1" t="s">
        <v>339</v>
      </c>
    </row>
    <row r="1248" spans="9:10">
      <c r="I1248" s="1">
        <v>570113</v>
      </c>
      <c r="J1248" s="1" t="s">
        <v>340</v>
      </c>
    </row>
    <row r="1249" spans="9:10">
      <c r="I1249" s="1">
        <v>570114</v>
      </c>
      <c r="J1249" s="1" t="s">
        <v>341</v>
      </c>
    </row>
    <row r="1250" spans="9:10">
      <c r="I1250" s="1">
        <v>570115</v>
      </c>
      <c r="J1250" s="1" t="s">
        <v>342</v>
      </c>
    </row>
    <row r="1251" spans="9:10">
      <c r="I1251" s="1">
        <v>570116</v>
      </c>
      <c r="J1251" s="1" t="s">
        <v>343</v>
      </c>
    </row>
    <row r="1252" spans="9:10">
      <c r="I1252" s="1">
        <v>57011601</v>
      </c>
      <c r="J1252" s="1" t="s">
        <v>344</v>
      </c>
    </row>
    <row r="1253" spans="9:10">
      <c r="I1253" s="1">
        <v>57011602</v>
      </c>
      <c r="J1253" s="1" t="s">
        <v>345</v>
      </c>
    </row>
    <row r="1254" spans="9:10">
      <c r="I1254" s="1">
        <v>57011603</v>
      </c>
      <c r="J1254" s="1" t="s">
        <v>346</v>
      </c>
    </row>
    <row r="1255" spans="9:10">
      <c r="I1255" s="1">
        <v>570118</v>
      </c>
      <c r="J1255" s="1" t="s">
        <v>347</v>
      </c>
    </row>
    <row r="1256" spans="9:10">
      <c r="I1256" s="1">
        <v>570119</v>
      </c>
      <c r="J1256" s="1" t="s">
        <v>348</v>
      </c>
    </row>
    <row r="1257" spans="9:10">
      <c r="I1257" s="1">
        <v>57011901</v>
      </c>
      <c r="J1257" s="1" t="s">
        <v>349</v>
      </c>
    </row>
    <row r="1258" spans="9:10">
      <c r="I1258" s="1">
        <v>57011902</v>
      </c>
      <c r="J1258" s="1" t="s">
        <v>350</v>
      </c>
    </row>
    <row r="1259" spans="9:10">
      <c r="I1259" s="1">
        <v>570121</v>
      </c>
      <c r="J1259" s="1" t="s">
        <v>351</v>
      </c>
    </row>
    <row r="1260" spans="9:10">
      <c r="I1260" s="1">
        <v>570122</v>
      </c>
      <c r="J1260" s="1" t="s">
        <v>352</v>
      </c>
    </row>
    <row r="1261" spans="9:10">
      <c r="I1261" s="1">
        <v>57012201</v>
      </c>
      <c r="J1261" s="1" t="s">
        <v>353</v>
      </c>
    </row>
    <row r="1262" spans="9:10">
      <c r="I1262" s="1">
        <v>57012202</v>
      </c>
      <c r="J1262" s="1" t="s">
        <v>354</v>
      </c>
    </row>
    <row r="1263" spans="9:10">
      <c r="I1263" s="1">
        <v>570123</v>
      </c>
      <c r="J1263" s="1" t="s">
        <v>355</v>
      </c>
    </row>
    <row r="1264" spans="9:10">
      <c r="I1264" s="1">
        <v>570124</v>
      </c>
      <c r="J1264" s="1" t="s">
        <v>356</v>
      </c>
    </row>
    <row r="1265" spans="9:10">
      <c r="I1265" s="1">
        <v>570125</v>
      </c>
      <c r="J1265" s="1" t="s">
        <v>357</v>
      </c>
    </row>
    <row r="1266" spans="9:10">
      <c r="I1266" s="1">
        <v>57012501</v>
      </c>
      <c r="J1266" s="1" t="s">
        <v>358</v>
      </c>
    </row>
    <row r="1267" spans="9:10">
      <c r="I1267" s="1">
        <v>57012509</v>
      </c>
      <c r="J1267" s="1" t="s">
        <v>359</v>
      </c>
    </row>
    <row r="1268" spans="9:10">
      <c r="I1268" s="1">
        <v>570126</v>
      </c>
      <c r="J1268" s="1" t="s">
        <v>360</v>
      </c>
    </row>
    <row r="1269" spans="9:10">
      <c r="I1269" s="1">
        <v>57012601</v>
      </c>
      <c r="J1269" s="1" t="s">
        <v>361</v>
      </c>
    </row>
    <row r="1270" spans="9:10">
      <c r="I1270" s="1">
        <v>57012602</v>
      </c>
      <c r="J1270" s="1" t="s">
        <v>362</v>
      </c>
    </row>
    <row r="1271" spans="9:10">
      <c r="I1271" s="1">
        <v>570127</v>
      </c>
      <c r="J1271" s="1" t="s">
        <v>363</v>
      </c>
    </row>
    <row r="1272" spans="9:10">
      <c r="I1272" s="1">
        <v>570128</v>
      </c>
      <c r="J1272" s="1" t="s">
        <v>364</v>
      </c>
    </row>
    <row r="1273" spans="9:10">
      <c r="I1273" s="1">
        <v>570129</v>
      </c>
      <c r="J1273" s="1" t="s">
        <v>365</v>
      </c>
    </row>
    <row r="1274" spans="9:10">
      <c r="I1274" s="1">
        <v>570130</v>
      </c>
      <c r="J1274" s="1" t="s">
        <v>366</v>
      </c>
    </row>
    <row r="1275" spans="9:10">
      <c r="I1275" s="1">
        <v>570131</v>
      </c>
      <c r="J1275" s="1" t="s">
        <v>367</v>
      </c>
    </row>
    <row r="1276" spans="9:10">
      <c r="I1276" s="1">
        <v>570132</v>
      </c>
      <c r="J1276" s="1" t="s">
        <v>368</v>
      </c>
    </row>
    <row r="1277" spans="9:10">
      <c r="I1277" s="1">
        <v>570133</v>
      </c>
      <c r="J1277" s="1" t="s">
        <v>369</v>
      </c>
    </row>
    <row r="1278" spans="9:10">
      <c r="I1278" s="1">
        <v>570134</v>
      </c>
      <c r="J1278" s="1" t="s">
        <v>370</v>
      </c>
    </row>
    <row r="1279" spans="9:10">
      <c r="I1279" s="1">
        <v>570188</v>
      </c>
      <c r="J1279" s="1" t="s">
        <v>371</v>
      </c>
    </row>
    <row r="1280" spans="9:10">
      <c r="I1280" s="1">
        <v>570199</v>
      </c>
      <c r="J1280" s="1" t="s">
        <v>372</v>
      </c>
    </row>
    <row r="1281" spans="9:10">
      <c r="I1281" s="1">
        <v>57019901</v>
      </c>
      <c r="J1281" s="1" t="s">
        <v>373</v>
      </c>
    </row>
    <row r="1282" spans="9:10">
      <c r="I1282" s="1">
        <v>57019911</v>
      </c>
      <c r="J1282" s="1" t="s">
        <v>374</v>
      </c>
    </row>
    <row r="1283" spans="9:10">
      <c r="I1283" s="1">
        <v>57019912</v>
      </c>
      <c r="J1283" s="1" t="s">
        <v>375</v>
      </c>
    </row>
    <row r="1284" spans="9:10">
      <c r="I1284" s="1">
        <v>57019913</v>
      </c>
      <c r="J1284" s="1" t="s">
        <v>376</v>
      </c>
    </row>
    <row r="1285" spans="9:10">
      <c r="I1285" s="1">
        <v>57019914</v>
      </c>
      <c r="J1285" s="1" t="s">
        <v>377</v>
      </c>
    </row>
    <row r="1286" spans="9:10">
      <c r="I1286" s="1">
        <v>57019915</v>
      </c>
      <c r="J1286" s="1" t="s">
        <v>378</v>
      </c>
    </row>
    <row r="1287" spans="9:10">
      <c r="I1287" s="1">
        <v>57019916</v>
      </c>
      <c r="J1287" s="1" t="s">
        <v>379</v>
      </c>
    </row>
    <row r="1288" spans="9:10">
      <c r="I1288" s="1" t="s">
        <v>21</v>
      </c>
      <c r="J1288" s="1" t="s">
        <v>380</v>
      </c>
    </row>
    <row r="1289" spans="9:10">
      <c r="I1289" s="1">
        <v>5801</v>
      </c>
      <c r="J1289" s="1" t="s">
        <v>381</v>
      </c>
    </row>
    <row r="1290" spans="9:10">
      <c r="I1290" s="1">
        <v>580101</v>
      </c>
      <c r="J1290" s="1" t="s">
        <v>382</v>
      </c>
    </row>
    <row r="1291" spans="9:10">
      <c r="I1291" s="1">
        <v>580102</v>
      </c>
      <c r="J1291" s="1" t="s">
        <v>383</v>
      </c>
    </row>
    <row r="1292" spans="9:10">
      <c r="I1292" s="1">
        <v>580103</v>
      </c>
      <c r="J1292" s="1" t="s">
        <v>384</v>
      </c>
    </row>
    <row r="1293" spans="9:10">
      <c r="I1293" s="1">
        <v>580104</v>
      </c>
      <c r="J1293" s="1" t="s">
        <v>385</v>
      </c>
    </row>
    <row r="1294" spans="9:10">
      <c r="I1294" s="1">
        <v>580105</v>
      </c>
      <c r="J1294" s="1" t="s">
        <v>386</v>
      </c>
    </row>
    <row r="1295" spans="9:10">
      <c r="I1295" s="1" t="s">
        <v>22</v>
      </c>
      <c r="J1295" s="1" t="s">
        <v>387</v>
      </c>
    </row>
    <row r="1296" spans="9:10">
      <c r="I1296" s="1" t="s">
        <v>388</v>
      </c>
      <c r="J1296" s="1" t="s">
        <v>389</v>
      </c>
    </row>
    <row r="1297" spans="9:10">
      <c r="I1297" s="1">
        <v>7101</v>
      </c>
      <c r="J1297" s="1" t="s">
        <v>390</v>
      </c>
    </row>
    <row r="1298" spans="9:10">
      <c r="I1298" s="1">
        <v>710101</v>
      </c>
      <c r="J1298" s="1" t="s">
        <v>391</v>
      </c>
    </row>
    <row r="1299" spans="9:10">
      <c r="I1299" s="1">
        <v>710102</v>
      </c>
      <c r="J1299" s="1" t="s">
        <v>392</v>
      </c>
    </row>
    <row r="1300" spans="9:10">
      <c r="I1300" s="1">
        <v>710103</v>
      </c>
      <c r="J1300" s="1" t="s">
        <v>393</v>
      </c>
    </row>
    <row r="1301" spans="9:10">
      <c r="I1301" s="1">
        <v>710104</v>
      </c>
      <c r="J1301" s="1" t="s">
        <v>394</v>
      </c>
    </row>
    <row r="1302" spans="9:10">
      <c r="I1302" s="1">
        <v>710105</v>
      </c>
      <c r="J1302" s="1" t="s">
        <v>395</v>
      </c>
    </row>
    <row r="1303" spans="9:10">
      <c r="I1303" s="1">
        <v>710106</v>
      </c>
      <c r="J1303" s="1" t="s">
        <v>396</v>
      </c>
    </row>
    <row r="1304" spans="9:10">
      <c r="I1304" s="1">
        <v>710109</v>
      </c>
      <c r="J1304" s="1" t="s">
        <v>397</v>
      </c>
    </row>
    <row r="1305" spans="9:10">
      <c r="I1305" s="1">
        <v>7201</v>
      </c>
      <c r="J1305" s="1" t="s">
        <v>398</v>
      </c>
    </row>
    <row r="1306" spans="9:10">
      <c r="I1306" s="1">
        <v>720101</v>
      </c>
      <c r="J1306" s="1" t="s">
        <v>399</v>
      </c>
    </row>
    <row r="1307" spans="9:10">
      <c r="I1307" s="1">
        <v>720102</v>
      </c>
      <c r="J1307" s="1" t="s">
        <v>400</v>
      </c>
    </row>
    <row r="1308" spans="9:10">
      <c r="I1308" s="1">
        <v>720103</v>
      </c>
      <c r="J1308" s="1" t="s">
        <v>401</v>
      </c>
    </row>
    <row r="1309" spans="9:10">
      <c r="I1309" s="1">
        <v>720104</v>
      </c>
      <c r="J1309" s="1" t="s">
        <v>402</v>
      </c>
    </row>
    <row r="1310" spans="9:10">
      <c r="I1310" s="1">
        <v>720105</v>
      </c>
      <c r="J1310" s="1" t="s">
        <v>403</v>
      </c>
    </row>
    <row r="1311" spans="9:10">
      <c r="I1311" s="1">
        <v>720106</v>
      </c>
      <c r="J1311" s="1" t="s">
        <v>404</v>
      </c>
    </row>
    <row r="1312" spans="9:10">
      <c r="I1312" s="1">
        <v>720107</v>
      </c>
      <c r="J1312" s="1" t="s">
        <v>405</v>
      </c>
    </row>
    <row r="1313" spans="9:10">
      <c r="I1313" s="1">
        <v>720108</v>
      </c>
      <c r="J1313" s="1" t="s">
        <v>406</v>
      </c>
    </row>
    <row r="1314" spans="9:10">
      <c r="I1314" s="1">
        <v>720109</v>
      </c>
      <c r="J1314" s="1" t="s">
        <v>407</v>
      </c>
    </row>
    <row r="1315" spans="9:10">
      <c r="I1315" s="1">
        <v>720110</v>
      </c>
      <c r="J1315" s="1" t="s">
        <v>408</v>
      </c>
    </row>
    <row r="1316" spans="9:10">
      <c r="I1316" s="1">
        <v>720111</v>
      </c>
      <c r="J1316" s="1" t="s">
        <v>409</v>
      </c>
    </row>
    <row r="1317" spans="9:10">
      <c r="I1317" s="1">
        <v>720198</v>
      </c>
      <c r="J1317" s="1" t="s">
        <v>410</v>
      </c>
    </row>
    <row r="1318" spans="9:10">
      <c r="I1318" s="1">
        <v>720199</v>
      </c>
      <c r="J1318" s="1" t="s">
        <v>411</v>
      </c>
    </row>
    <row r="1319" spans="9:10">
      <c r="I1319" s="1">
        <v>7301</v>
      </c>
      <c r="J1319" s="1" t="s">
        <v>412</v>
      </c>
    </row>
    <row r="1320" spans="9:10">
      <c r="I1320" s="1">
        <v>7901</v>
      </c>
      <c r="J1320" s="1" t="s">
        <v>413</v>
      </c>
    </row>
    <row r="1321" spans="9:10">
      <c r="I1321" s="1">
        <v>790101</v>
      </c>
      <c r="J1321" s="1" t="s">
        <v>413</v>
      </c>
    </row>
    <row r="1322" spans="9:10">
      <c r="I1322" s="1" t="s">
        <v>25</v>
      </c>
      <c r="J1322" s="1" t="s">
        <v>414</v>
      </c>
    </row>
    <row r="1323" spans="9:10">
      <c r="I1323" s="1" t="s">
        <v>415</v>
      </c>
      <c r="J1323" s="1" t="s">
        <v>416</v>
      </c>
    </row>
    <row r="1324" spans="9:10">
      <c r="I1324" s="1">
        <v>8101</v>
      </c>
      <c r="J1324" s="1" t="s">
        <v>417</v>
      </c>
    </row>
    <row r="1325" spans="9:10">
      <c r="I1325" s="1">
        <v>810101</v>
      </c>
      <c r="J1325" s="1" t="s">
        <v>417</v>
      </c>
    </row>
    <row r="1326" spans="9:10">
      <c r="I1326" s="1" t="s">
        <v>28</v>
      </c>
      <c r="J1326" s="1" t="s">
        <v>418</v>
      </c>
    </row>
    <row r="1327" spans="9:10">
      <c r="I1327" s="1" t="s">
        <v>29</v>
      </c>
      <c r="J1327" s="1" t="s">
        <v>419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工作表1</vt:lpstr>
      <vt:lpstr>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Woody Shi, DFHK DFX</cp:lastModifiedBy>
  <dcterms:created xsi:type="dcterms:W3CDTF">2025-10-14T01:39:34Z</dcterms:created>
  <dcterms:modified xsi:type="dcterms:W3CDTF">2025-10-14T01:47:37Z</dcterms:modified>
</cp:coreProperties>
</file>